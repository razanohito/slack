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サマリー" sheetId="2" state="visible" r:id="rId4"/>
    <sheet name="料金比較" sheetId="3" state="visible" r:id="rId5"/>
    <sheet name="レッスン・教材" sheetId="4" state="visible" r:id="rId6"/>
    <sheet name="講師" sheetId="5" state="visible" r:id="rId7"/>
    <sheet name="口コミ・課題" sheetId="6" state="visible" r:id="rId8"/>
    <sheet name="ポジショニング" sheetId="7" state="visible" r:id="rId9"/>
    <sheet name="ステモン戦略" sheetId="8" state="visible" r:id="rId10"/>
    <sheet name="要確認リスト" sheetId="9" state="visible" r:id="rId11"/>
    <sheet name="参考_ナリカ・その他" sheetId="10" state="visible" r:id="rId12"/>
    <sheet name="出典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<sst xmlns="http://schemas.openxmlformats.org/spreadsheetml/2006/main" count="1088" uniqueCount="668">
  <si>
    <r>
      <rPr>
        <b val="true"/>
        <sz val="16"/>
        <color rgb="FF1F2A44"/>
        <rFont val="Meiryo"/>
        <family val="0"/>
        <charset val="1"/>
      </rPr>
      <t xml:space="preserve">STEAM</t>
    </r>
    <r>
      <rPr>
        <b val="true"/>
        <sz val="16"/>
        <color rgb="FF1F2A44"/>
        <rFont val="WenQuanYi Zen Hei"/>
        <family val="2"/>
      </rPr>
      <t xml:space="preserve">教育・子ども向けプログラミング教室 競合比較（元データ）</t>
    </r>
  </si>
  <si>
    <t xml:space="preserve">目的</t>
  </si>
  <si>
    <t xml:space="preserve">社内の戦略検討用。ステモンと主要競合の料金・レッスン内容・講師・教材・課題を網羅的に比較し、打ち手を検討する</t>
  </si>
  <si>
    <t xml:space="preserve">調査日</t>
  </si>
  <si>
    <t xml:space="preserve">2026-09-28</t>
  </si>
  <si>
    <t xml:space="preserve">対象</t>
  </si>
  <si>
    <r>
      <rPr>
        <sz val="10"/>
        <color rgb="FF222222"/>
        <rFont val="WenQuanYi Zen Hei"/>
        <family val="2"/>
      </rPr>
      <t xml:space="preserve">自社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＋競合</t>
    </r>
    <r>
      <rPr>
        <sz val="10"/>
        <color rgb="FF222222"/>
        <rFont val="Meiryo"/>
        <family val="0"/>
        <charset val="1"/>
      </rPr>
      <t xml:space="preserve">13</t>
    </r>
    <r>
      <rPr>
        <sz val="10"/>
        <color rgb="FF222222"/>
        <rFont val="WenQuanYi Zen Hei"/>
        <family val="2"/>
      </rPr>
      <t xml:space="preserve">社（ロボット・ものづくり系</t>
    </r>
    <r>
      <rPr>
        <sz val="10"/>
        <color rgb="FF222222"/>
        <rFont val="Meiryo"/>
        <family val="0"/>
        <charset val="1"/>
      </rPr>
      <t xml:space="preserve">7</t>
    </r>
    <r>
      <rPr>
        <sz val="10"/>
        <color rgb="FF222222"/>
        <rFont val="WenQuanYi Zen Hei"/>
        <family val="2"/>
      </rPr>
      <t xml:space="preserve">、プログラミング特化系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、オンライン・通信系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）＋参考：ナリカ（教材サプライヤー）</t>
    </r>
  </si>
  <si>
    <t xml:space="preserve">調査方法</t>
  </si>
  <si>
    <r>
      <rPr>
        <sz val="10"/>
        <color rgb="FF222222"/>
        <rFont val="Meiryo"/>
        <family val="0"/>
        <charset val="1"/>
      </rPr>
      <t xml:space="preserve">Web</t>
    </r>
    <r>
      <rPr>
        <sz val="10"/>
        <color rgb="FF222222"/>
        <rFont val="WenQuanYi Zen Hei"/>
        <family val="2"/>
      </rPr>
      <t xml:space="preserve">検索結果（検索エンジンが表示した公式サイト・比較サイト・口コミサイト・求人サイトの要約）から収集</t>
    </r>
  </si>
  <si>
    <t xml:space="preserve">⚠ 重要な注意</t>
  </si>
  <si>
    <t xml:space="preserve">調査環境の制約で各社公式ページの本文は直接閲覧できていない。数値は検索結果の要約ベースのため、社外利用・意思決定の前に「要確認リスト」シートの項目を公式ページで確認すること</t>
  </si>
  <si>
    <t xml:space="preserve">確度の表記</t>
  </si>
  <si>
    <t xml:space="preserve">公式＝運営会社・公式サイト由来／二次＝比較・口コミ・ブログ由来／推定＝本資料での試算／要確認＝出典が古い・食い違う・一次未確認</t>
  </si>
  <si>
    <t xml:space="preserve">料金の注意</t>
  </si>
  <si>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中心のブランドは教室ごとに料金が異なる。総額は「料金比較」シートの前提（</t>
    </r>
    <r>
      <rPr>
        <sz val="10"/>
        <color rgb="FF222222"/>
        <rFont val="Meiryo"/>
        <family val="0"/>
        <charset val="1"/>
      </rPr>
      <t xml:space="preserve">C</t>
    </r>
    <r>
      <rPr>
        <sz val="10"/>
        <color rgb="FF222222"/>
        <rFont val="WenQuanYi Zen Hei"/>
        <family val="2"/>
      </rPr>
      <t xml:space="preserve">列）に基づく試算</t>
    </r>
  </si>
  <si>
    <t xml:space="preserve">編集方法</t>
  </si>
  <si>
    <r>
      <rPr>
        <sz val="10"/>
        <color rgb="FF222222"/>
        <rFont val="WenQuanYi Zen Hei"/>
        <family val="2"/>
      </rPr>
      <t xml:space="preserve">「料金比較」シートの青字セル（入会金・月謝・諸費用・教材費・授業時間）を書き換えると、総額・ステモン比・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時間単価・グラフ・サマリーが自動で再計算される</t>
    </r>
  </si>
  <si>
    <t xml:space="preserve">シート構成</t>
  </si>
  <si>
    <r>
      <rPr>
        <sz val="10"/>
        <color rgb="FF222222"/>
        <rFont val="WenQuanYi Zen Hei"/>
        <family val="2"/>
      </rPr>
      <t xml:space="preserve">サマリー／料金比較／レッスン・教材／講師／口コミ・課題／ポジショニング／ステモン戦略（</t>
    </r>
    <r>
      <rPr>
        <sz val="10"/>
        <color rgb="FF222222"/>
        <rFont val="Meiryo"/>
        <family val="0"/>
        <charset val="1"/>
      </rPr>
      <t xml:space="preserve">SWOT</t>
    </r>
    <r>
      <rPr>
        <sz val="10"/>
        <color rgb="FF222222"/>
        <rFont val="WenQuanYi Zen Hei"/>
        <family val="2"/>
      </rPr>
      <t xml:space="preserve">・提言）／要確認リスト／参考</t>
    </r>
    <r>
      <rPr>
        <sz val="10"/>
        <color rgb="FF222222"/>
        <rFont val="Meiryo"/>
        <family val="0"/>
        <charset val="1"/>
      </rPr>
      <t xml:space="preserve">_</t>
    </r>
    <r>
      <rPr>
        <sz val="10"/>
        <color rgb="FF222222"/>
        <rFont val="WenQuanYi Zen Hei"/>
        <family val="2"/>
      </rPr>
      <t xml:space="preserve">ナリカ・その他／出典</t>
    </r>
  </si>
  <si>
    <t xml:space="preserve">サマリー（全社の主要項目一覧）</t>
  </si>
  <si>
    <t xml:space="preserve">総額は「料金比較」シートと連動。脅威度＝ステモンにとっての競合度合い（高／中／低、定性評価）</t>
  </si>
  <si>
    <t xml:space="preserve">分類</t>
  </si>
  <si>
    <t xml:space="preserve">社名</t>
  </si>
  <si>
    <t xml:space="preserve">運営会社</t>
  </si>
  <si>
    <t xml:space="preserve">規模</t>
  </si>
  <si>
    <t xml:space="preserve">運営形態</t>
  </si>
  <si>
    <t xml:space="preserve">月謝</t>
  </si>
  <si>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年目総額
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試算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</si>
  <si>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Meiryo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年総額
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試算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</si>
  <si>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教材（購入</t>
    </r>
    <r>
      <rPr>
        <b val="true"/>
        <sz val="10"/>
        <color rgb="FFFFFFFF"/>
        <rFont val="Meiryo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貸与）</t>
    </r>
  </si>
  <si>
    <t xml:space="preserve">講師（雇用・時給）</t>
  </si>
  <si>
    <t xml:space="preserve">強み（口コミで評価される点）</t>
  </si>
  <si>
    <t xml:space="preserve">主な弱み・課題</t>
  </si>
  <si>
    <t xml:space="preserve">脅威度</t>
  </si>
  <si>
    <t xml:space="preserve">自社</t>
  </si>
  <si>
    <t xml:space="preserve">ステモン（自社）</t>
  </si>
  <si>
    <t xml:space="preserve">株式会社ヴィリング</t>
  </si>
  <si>
    <r>
      <rPr>
        <sz val="10"/>
        <color rgb="FF222222"/>
        <rFont val="WenQuanYi Zen Hei"/>
        <family val="2"/>
      </rPr>
      <t xml:space="preserve">年中〜小</t>
    </r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WenQuanYi Zen Hei"/>
        <family val="2"/>
      </rPr>
      <t xml:space="preserve">（プロロボは小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〜中学生程度）</t>
    </r>
  </si>
  <si>
    <r>
      <rPr>
        <sz val="10"/>
        <color rgb="FF222222"/>
        <rFont val="Meiryo"/>
        <family val="0"/>
        <charset val="1"/>
      </rPr>
      <t xml:space="preserve">170</t>
    </r>
    <r>
      <rPr>
        <sz val="10"/>
        <color rgb="FF222222"/>
        <rFont val="WenQuanYi Zen Hei"/>
        <family val="2"/>
      </rPr>
      <t xml:space="preserve">教室以上（</t>
    </r>
    <r>
      <rPr>
        <sz val="10"/>
        <color rgb="FF222222"/>
        <rFont val="Meiryo"/>
        <family val="0"/>
        <charset val="1"/>
      </rPr>
      <t xml:space="preserve">2026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月）／在籍</t>
    </r>
    <r>
      <rPr>
        <sz val="10"/>
        <color rgb="FF222222"/>
        <rFont val="Meiryo"/>
        <family val="0"/>
        <charset val="1"/>
      </rPr>
      <t xml:space="preserve">3,500</t>
    </r>
    <r>
      <rPr>
        <sz val="10"/>
        <color rgb="FF222222"/>
        <rFont val="WenQuanYi Zen Hei"/>
        <family val="2"/>
      </rPr>
      <t xml:space="preserve">名以上（要確認）</t>
    </r>
  </si>
  <si>
    <r>
      <rPr>
        <sz val="10"/>
        <color rgb="FF222222"/>
        <rFont val="WenQuanYi Zen Hei"/>
        <family val="2"/>
      </rPr>
      <t xml:space="preserve">直営＋</t>
    </r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（塾併設も多い）</t>
    </r>
  </si>
  <si>
    <r>
      <rPr>
        <sz val="10"/>
        <color rgb="FF222222"/>
        <rFont val="Meiryo"/>
        <family val="0"/>
        <charset val="1"/>
      </rPr>
      <t xml:space="preserve">8,580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11,880</t>
    </r>
    <r>
      <rPr>
        <sz val="10"/>
        <color rgb="FF222222"/>
        <rFont val="WenQuanYi Zen Hei"/>
        <family val="2"/>
      </rPr>
      <t xml:space="preserve">円（＋施設費</t>
    </r>
    <r>
      <rPr>
        <sz val="10"/>
        <color rgb="FF222222"/>
        <rFont val="Meiryo"/>
        <family val="0"/>
        <charset val="1"/>
      </rPr>
      <t xml:space="preserve">880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2,200</t>
    </r>
    <r>
      <rPr>
        <sz val="10"/>
        <color rgb="FF222222"/>
        <rFont val="WenQuanYi Zen Hei"/>
        <family val="2"/>
      </rPr>
      <t xml:space="preserve">円）</t>
    </r>
  </si>
  <si>
    <r>
      <rPr>
        <sz val="10"/>
        <color rgb="FF222222"/>
        <rFont val="WenQuanYi Zen Hei"/>
        <family val="2"/>
      </rPr>
      <t xml:space="preserve">独自カリキュラム＋ブロック教材＋</t>
    </r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（製品名は要確認）／教室で貸出（購入不要）。</t>
    </r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レンタル</t>
    </r>
    <r>
      <rPr>
        <sz val="10"/>
        <color rgb="FF222222"/>
        <rFont val="Meiryo"/>
        <family val="0"/>
        <charset val="1"/>
      </rPr>
      <t xml:space="preserve">2,200</t>
    </r>
    <r>
      <rPr>
        <sz val="10"/>
        <color rgb="FF222222"/>
        <rFont val="WenQuanYi Zen Hei"/>
        <family val="2"/>
      </rPr>
      <t xml:space="preserve">円</t>
    </r>
    <r>
      <rPr>
        <sz val="10"/>
        <color rgb="FF222222"/>
        <rFont val="Meiryo"/>
        <family val="0"/>
        <charset val="1"/>
      </rPr>
      <t xml:space="preserve">/</t>
    </r>
    <r>
      <rPr>
        <sz val="10"/>
        <color rgb="FF222222"/>
        <rFont val="WenQuanYi Zen Hei"/>
        <family val="2"/>
      </rPr>
      <t xml:space="preserve">月</t>
    </r>
  </si>
  <si>
    <r>
      <rPr>
        <sz val="10"/>
        <color rgb="FF222222"/>
        <rFont val="WenQuanYi Zen Hei"/>
        <family val="2"/>
      </rPr>
      <t xml:space="preserve">パート・アルバイト（正社員の教室運営職も募集）／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コマ</t>
    </r>
    <r>
      <rPr>
        <sz val="10"/>
        <color rgb="FF222222"/>
        <rFont val="Meiryo"/>
        <family val="0"/>
        <charset val="1"/>
      </rPr>
      <t xml:space="preserve">2,000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2,700</t>
    </r>
    <r>
      <rPr>
        <sz val="10"/>
        <color rgb="FF222222"/>
        <rFont val="WenQuanYi Zen Hei"/>
        <family val="2"/>
      </rPr>
      <t xml:space="preserve">円（時給換算 約</t>
    </r>
    <r>
      <rPr>
        <sz val="10"/>
        <color rgb="FF222222"/>
        <rFont val="Meiryo"/>
        <family val="0"/>
        <charset val="1"/>
      </rPr>
      <t xml:space="preserve">1,330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1,800</t>
    </r>
    <r>
      <rPr>
        <sz val="10"/>
        <color rgb="FF222222"/>
        <rFont val="WenQuanYi Zen Hei"/>
        <family val="2"/>
      </rPr>
      <t xml:space="preserve">円）／研修時給</t>
    </r>
    <r>
      <rPr>
        <sz val="10"/>
        <color rgb="FF222222"/>
        <rFont val="Meiryo"/>
        <family val="0"/>
        <charset val="1"/>
      </rPr>
      <t xml:space="preserve">1,170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1,240</t>
    </r>
    <r>
      <rPr>
        <sz val="10"/>
        <color rgb="FF222222"/>
        <rFont val="WenQuanYi Zen Hei"/>
        <family val="2"/>
      </rPr>
      <t xml:space="preserve">円</t>
    </r>
  </si>
  <si>
    <r>
      <rPr>
        <sz val="10"/>
        <color rgb="FF222222"/>
        <rFont val="WenQuanYi Zen Hei"/>
        <family val="2"/>
      </rPr>
      <t xml:space="preserve">体験型で夢中になる、ものの仕組みから学べる、ロボコンに出られる、オリコン顧客満足度 ロボット部門</t>
    </r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WenQuanYi Zen Hei"/>
        <family val="2"/>
      </rPr>
      <t xml:space="preserve">位（</t>
    </r>
    <r>
      <rPr>
        <sz val="10"/>
        <color rgb="FF222222"/>
        <rFont val="Meiryo"/>
        <family val="0"/>
        <charset val="1"/>
      </rPr>
      <t xml:space="preserve">76.4</t>
    </r>
    <r>
      <rPr>
        <sz val="10"/>
        <color rgb="FF222222"/>
        <rFont val="WenQuanYi Zen Hei"/>
        <family val="2"/>
      </rPr>
      <t xml:space="preserve">点）</t>
    </r>
  </si>
  <si>
    <r>
      <rPr>
        <sz val="10"/>
        <color rgb="FF222222"/>
        <rFont val="WenQuanYi Zen Hei"/>
        <family val="2"/>
      </rPr>
      <t xml:space="preserve">オンライン系の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倍の価格。</t>
    </r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で品質・ルールがばらつく。小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以降の出口（本格的なコード）が薄い。料金表示が情報源でばらつく</t>
    </r>
  </si>
  <si>
    <t xml:space="preserve">—</t>
  </si>
  <si>
    <t xml:space="preserve">ロボット・ものづくり</t>
  </si>
  <si>
    <r>
      <rPr>
        <sz val="10"/>
        <color rgb="FF222222"/>
        <rFont val="Meiryo"/>
        <family val="0"/>
        <charset val="1"/>
      </rPr>
      <t xml:space="preserve">STEAM Campus</t>
    </r>
    <r>
      <rPr>
        <sz val="10"/>
        <color rgb="FF222222"/>
        <rFont val="WenQuanYi Zen Hei"/>
        <family val="2"/>
      </rPr>
      <t xml:space="preserve">（旧レゴスクール）</t>
    </r>
  </si>
  <si>
    <r>
      <rPr>
        <sz val="10"/>
        <color rgb="FF222222"/>
        <rFont val="WenQuanYi Zen Hei"/>
        <family val="2"/>
      </rPr>
      <t xml:space="preserve">ラーニングシステム ほか地域運営会社（</t>
    </r>
    <r>
      <rPr>
        <sz val="10"/>
        <color rgb="FF222222"/>
        <rFont val="Meiryo"/>
        <family val="0"/>
        <charset val="1"/>
      </rPr>
      <t xml:space="preserve">LaZo/SLS</t>
    </r>
    <r>
      <rPr>
        <sz val="10"/>
        <color rgb="FF222222"/>
        <rFont val="WenQuanYi Zen Hei"/>
        <family val="2"/>
      </rPr>
      <t xml:space="preserve">、アップ、イマージュ、第一楽器 等）</t>
    </r>
  </si>
  <si>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歳〜中学生（中心は年少〜小学生）</t>
    </r>
  </si>
  <si>
    <t xml:space="preserve">教室総数は不明（首都圏の商業施設中心＋関西・東海）</t>
  </si>
  <si>
    <r>
      <rPr>
        <sz val="10"/>
        <color rgb="FF222222"/>
        <rFont val="WenQuanYi Zen Hei"/>
        <family val="2"/>
      </rPr>
      <t xml:space="preserve">パートナー制（</t>
    </r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に近い形）</t>
    </r>
  </si>
  <si>
    <r>
      <rPr>
        <sz val="10"/>
        <color rgb="FF222222"/>
        <rFont val="WenQuanYi Zen Hei"/>
        <family val="2"/>
      </rPr>
      <t xml:space="preserve">平均 約</t>
    </r>
    <r>
      <rPr>
        <sz val="10"/>
        <color rgb="FF222222"/>
        <rFont val="Meiryo"/>
        <family val="0"/>
        <charset val="1"/>
      </rPr>
      <t xml:space="preserve">11,100</t>
    </r>
    <r>
      <rPr>
        <sz val="10"/>
        <color rgb="FF222222"/>
        <rFont val="WenQuanYi Zen Hei"/>
        <family val="2"/>
      </rPr>
      <t xml:space="preserve">円（年齢で段階的に上昇）</t>
    </r>
  </si>
  <si>
    <r>
      <rPr>
        <sz val="10"/>
        <color rgb="FF222222"/>
        <rFont val="Meiryo"/>
        <family val="0"/>
        <charset val="1"/>
      </rPr>
      <t xml:space="preserve">LEGO Education</t>
    </r>
    <r>
      <rPr>
        <sz val="10"/>
        <color rgb="FF222222"/>
        <rFont val="WenQuanYi Zen Hei"/>
        <family val="2"/>
      </rPr>
      <t xml:space="preserve">（既製品）／家庭用教材を毎年購入（年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4.7</t>
    </r>
    <r>
      <rPr>
        <sz val="10"/>
        <color rgb="FF222222"/>
        <rFont val="WenQuanYi Zen Hei"/>
        <family val="2"/>
      </rPr>
      <t xml:space="preserve">万円）</t>
    </r>
  </si>
  <si>
    <r>
      <rPr>
        <sz val="10"/>
        <color rgb="FF222222"/>
        <rFont val="WenQuanYi Zen Hei"/>
        <family val="2"/>
      </rPr>
      <t xml:space="preserve">アルバイト・パート／時給</t>
    </r>
    <r>
      <rPr>
        <sz val="10"/>
        <color rgb="FF222222"/>
        <rFont val="Meiryo"/>
        <family val="0"/>
        <charset val="1"/>
      </rPr>
      <t xml:space="preserve">1,200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1,600</t>
    </r>
    <r>
      <rPr>
        <sz val="10"/>
        <color rgb="FF222222"/>
        <rFont val="WenQuanYi Zen Hei"/>
        <family val="2"/>
      </rPr>
      <t xml:space="preserve">円（研修</t>
    </r>
    <r>
      <rPr>
        <sz val="10"/>
        <color rgb="FF222222"/>
        <rFont val="Meiryo"/>
        <family val="0"/>
        <charset val="1"/>
      </rPr>
      <t xml:space="preserve">1,120</t>
    </r>
    <r>
      <rPr>
        <sz val="10"/>
        <color rgb="FF222222"/>
        <rFont val="WenQuanYi Zen Hei"/>
        <family val="2"/>
      </rPr>
      <t xml:space="preserve">円の例）</t>
    </r>
  </si>
  <si>
    <t xml:space="preserve">独自性の高いプログラム、幼児期から始められる、商業施設内で通いやすい</t>
  </si>
  <si>
    <r>
      <rPr>
        <sz val="10"/>
        <color rgb="FF222222"/>
        <rFont val="Meiryo"/>
        <family val="0"/>
        <charset val="1"/>
      </rPr>
      <t xml:space="preserve">2024</t>
    </r>
    <r>
      <rPr>
        <sz val="10"/>
        <color rgb="FF222222"/>
        <rFont val="WenQuanYi Zen Hei"/>
        <family val="2"/>
      </rPr>
      <t xml:space="preserve">年に</t>
    </r>
    <r>
      <rPr>
        <sz val="10"/>
        <color rgb="FF222222"/>
        <rFont val="Meiryo"/>
        <family val="0"/>
        <charset val="1"/>
      </rPr>
      <t xml:space="preserve">LEGO</t>
    </r>
    <r>
      <rPr>
        <sz val="10"/>
        <color rgb="FF222222"/>
        <rFont val="WenQuanYi Zen Hei"/>
        <family val="2"/>
      </rPr>
      <t xml:space="preserve">ブランドを失い認知低下。教材の毎年購入で総額が見えにくい。運営会社が複数で品質・料金にばらつき</t>
    </r>
  </si>
  <si>
    <t xml:space="preserve">中</t>
  </si>
  <si>
    <t xml:space="preserve">ヒューマンアカデミー ロボット教室</t>
  </si>
  <si>
    <r>
      <rPr>
        <sz val="10"/>
        <color rgb="FF222222"/>
        <rFont val="WenQuanYi Zen Hei"/>
        <family val="2"/>
      </rPr>
      <t xml:space="preserve">ヒューマンアカデミー株式会社（ヒューマン</t>
    </r>
    <r>
      <rPr>
        <sz val="10"/>
        <color rgb="FF222222"/>
        <rFont val="Meiryo"/>
        <family val="0"/>
        <charset val="1"/>
      </rPr>
      <t xml:space="preserve">HD</t>
    </r>
    <r>
      <rPr>
        <sz val="10"/>
        <color rgb="FF222222"/>
        <rFont val="WenQuanYi Zen Hei"/>
        <family val="2"/>
      </rPr>
      <t xml:space="preserve">）</t>
    </r>
  </si>
  <si>
    <t xml:space="preserve">年中〜高校生相当</t>
  </si>
  <si>
    <r>
      <rPr>
        <sz val="10"/>
        <color rgb="FF222222"/>
        <rFont val="Meiryo"/>
        <family val="0"/>
        <charset val="1"/>
      </rPr>
      <t xml:space="preserve">2,000</t>
    </r>
    <r>
      <rPr>
        <sz val="10"/>
        <color rgb="FF222222"/>
        <rFont val="WenQuanYi Zen Hei"/>
        <family val="2"/>
      </rPr>
      <t xml:space="preserve">教室以上・生徒</t>
    </r>
    <r>
      <rPr>
        <sz val="10"/>
        <color rgb="FF222222"/>
        <rFont val="Meiryo"/>
        <family val="0"/>
        <charset val="1"/>
      </rPr>
      <t xml:space="preserve">27,000</t>
    </r>
    <r>
      <rPr>
        <sz val="10"/>
        <color rgb="FF222222"/>
        <rFont val="WenQuanYi Zen Hei"/>
        <family val="2"/>
      </rPr>
      <t xml:space="preserve">人超（</t>
    </r>
    <r>
      <rPr>
        <sz val="10"/>
        <color rgb="FF222222"/>
        <rFont val="Meiryo"/>
        <family val="0"/>
        <charset val="1"/>
      </rPr>
      <t xml:space="preserve">2025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8</t>
    </r>
    <r>
      <rPr>
        <sz val="10"/>
        <color rgb="FF222222"/>
        <rFont val="WenQuanYi Zen Hei"/>
        <family val="2"/>
      </rPr>
      <t xml:space="preserve">月、公式）</t>
    </r>
  </si>
  <si>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主体（塾・学童等の併設。加盟金</t>
    </r>
    <r>
      <rPr>
        <sz val="10"/>
        <color rgb="FF222222"/>
        <rFont val="Meiryo"/>
        <family val="0"/>
        <charset val="1"/>
      </rPr>
      <t xml:space="preserve">0</t>
    </r>
    <r>
      <rPr>
        <sz val="10"/>
        <color rgb="FF222222"/>
        <rFont val="WenQuanYi Zen Hei"/>
        <family val="2"/>
      </rPr>
      <t xml:space="preserve">円）</t>
    </r>
  </si>
  <si>
    <r>
      <rPr>
        <sz val="10"/>
        <color rgb="FF222222"/>
        <rFont val="WenQuanYi Zen Hei"/>
        <family val="2"/>
      </rPr>
      <t xml:space="preserve">全コース一律</t>
    </r>
    <r>
      <rPr>
        <sz val="10"/>
        <color rgb="FF222222"/>
        <rFont val="Meiryo"/>
        <family val="0"/>
        <charset val="1"/>
      </rPr>
      <t xml:space="preserve">11,550</t>
    </r>
    <r>
      <rPr>
        <sz val="10"/>
        <color rgb="FF222222"/>
        <rFont val="WenQuanYi Zen Hei"/>
        <family val="2"/>
      </rPr>
      <t xml:space="preserve">円</t>
    </r>
  </si>
  <si>
    <t xml:space="preserve">独自ロボットキット（高橋智隆氏監修）／購入制・持ち帰り可</t>
  </si>
  <si>
    <r>
      <rPr>
        <sz val="10"/>
        <color rgb="FF222222"/>
        <rFont val="WenQuanYi Zen Hei"/>
        <family val="2"/>
      </rPr>
      <t xml:space="preserve">業務委託講師／時給</t>
    </r>
    <r>
      <rPr>
        <sz val="10"/>
        <color rgb="FF222222"/>
        <rFont val="Meiryo"/>
        <family val="0"/>
        <charset val="1"/>
      </rPr>
      <t xml:space="preserve">1,320</t>
    </r>
    <r>
      <rPr>
        <sz val="10"/>
        <color rgb="FF222222"/>
        <rFont val="WenQuanYi Zen Hei"/>
        <family val="2"/>
      </rPr>
      <t xml:space="preserve">円〜</t>
    </r>
  </si>
  <si>
    <r>
      <rPr>
        <sz val="10"/>
        <color rgb="FF222222"/>
        <rFont val="WenQuanYi Zen Hei"/>
        <family val="2"/>
      </rPr>
      <t xml:space="preserve">教室が多く近所にある、ロボットがかっこよく夢中になる、テキストが充実、全国大会、月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回で続けやすい</t>
    </r>
  </si>
  <si>
    <r>
      <rPr>
        <sz val="10"/>
        <color rgb="FF222222"/>
        <rFont val="WenQuanYi Zen Hei"/>
        <family val="2"/>
      </rPr>
      <t xml:space="preserve">業務委託・未経験可の講師で品質がばらつく。テキスト通りの組み立て中心。月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回で接触回数が少ない</t>
    </r>
  </si>
  <si>
    <t xml:space="preserve">高</t>
  </si>
  <si>
    <t xml:space="preserve">ロボ団</t>
  </si>
  <si>
    <t xml:space="preserve">夢見る株式会社（大阪）</t>
  </si>
  <si>
    <t xml:space="preserve">年長〜中学生</t>
  </si>
  <si>
    <r>
      <rPr>
        <sz val="10"/>
        <color rgb="FF222222"/>
        <rFont val="WenQuanYi Zen Hei"/>
        <family val="2"/>
      </rPr>
      <t xml:space="preserve">約</t>
    </r>
    <r>
      <rPr>
        <sz val="10"/>
        <color rgb="FF222222"/>
        <rFont val="Meiryo"/>
        <family val="0"/>
        <charset val="1"/>
      </rPr>
      <t xml:space="preserve">100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120</t>
    </r>
    <r>
      <rPr>
        <sz val="10"/>
        <color rgb="FF222222"/>
        <rFont val="WenQuanYi Zen Hei"/>
        <family val="2"/>
      </rPr>
      <t xml:space="preserve">教室・生徒</t>
    </r>
    <r>
      <rPr>
        <sz val="10"/>
        <color rgb="FF222222"/>
        <rFont val="Meiryo"/>
        <family val="0"/>
        <charset val="1"/>
      </rPr>
      <t xml:space="preserve">5,500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6,500</t>
    </r>
    <r>
      <rPr>
        <sz val="10"/>
        <color rgb="FF222222"/>
        <rFont val="WenQuanYi Zen Hei"/>
        <family val="2"/>
      </rPr>
      <t xml:space="preserve">人（</t>
    </r>
    <r>
      <rPr>
        <sz val="10"/>
        <color rgb="FF222222"/>
        <rFont val="Meiryo"/>
        <family val="0"/>
        <charset val="1"/>
      </rPr>
      <t xml:space="preserve">2022</t>
    </r>
    <r>
      <rPr>
        <sz val="10"/>
        <color rgb="FF222222"/>
        <rFont val="WenQuanYi Zen Hei"/>
        <family val="2"/>
      </rPr>
      <t xml:space="preserve">年時点、最新値なし）</t>
    </r>
  </si>
  <si>
    <r>
      <rPr>
        <sz val="10"/>
        <color rgb="FF222222"/>
        <rFont val="WenQuanYi Zen Hei"/>
        <family val="2"/>
      </rPr>
      <t xml:space="preserve">直営＋</t>
    </r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（単独型／併設型）</t>
    </r>
  </si>
  <si>
    <r>
      <rPr>
        <sz val="10"/>
        <color rgb="FF222222"/>
        <rFont val="Meiryo"/>
        <family val="0"/>
        <charset val="1"/>
      </rPr>
      <t xml:space="preserve">9,800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15,800</t>
    </r>
    <r>
      <rPr>
        <sz val="10"/>
        <color rgb="FF222222"/>
        <rFont val="WenQuanYi Zen Hei"/>
        <family val="2"/>
      </rPr>
      <t xml:space="preserve">円（コースで異なる）</t>
    </r>
  </si>
  <si>
    <r>
      <rPr>
        <sz val="10"/>
        <color rgb="FF222222"/>
        <rFont val="Meiryo"/>
        <family val="0"/>
        <charset val="1"/>
      </rPr>
      <t xml:space="preserve">LEGO Education SPIKE Prime</t>
    </r>
    <r>
      <rPr>
        <sz val="10"/>
        <color rgb="FF222222"/>
        <rFont val="WenQuanYi Zen Hei"/>
        <family val="2"/>
      </rPr>
      <t xml:space="preserve">＋独自テキスト／教室で貸与（持ち帰り不可）、家庭用タブレットが必要な場合あり</t>
    </r>
  </si>
  <si>
    <t xml:space="preserve">アルバイト（サポート講師）／要確認</t>
  </si>
  <si>
    <t xml:space="preserve">ペアワークと発表でプレゼン力がつく、教材購入不要、アプリで学習状況が分かる、大会がある</t>
  </si>
  <si>
    <r>
      <rPr>
        <sz val="10"/>
        <color rgb="FF222222"/>
        <rFont val="WenQuanYi Zen Hei"/>
        <family val="2"/>
      </rPr>
      <t xml:space="preserve">成果物が家に残らず保護者が成長を実感しにくい。料金体系が分かりにくい。規模の開示が</t>
    </r>
    <r>
      <rPr>
        <sz val="10"/>
        <color rgb="FF222222"/>
        <rFont val="Meiryo"/>
        <family val="0"/>
        <charset val="1"/>
      </rPr>
      <t xml:space="preserve">2022</t>
    </r>
    <r>
      <rPr>
        <sz val="10"/>
        <color rgb="FF222222"/>
        <rFont val="WenQuanYi Zen Hei"/>
        <family val="2"/>
      </rPr>
      <t xml:space="preserve">年で止まっている</t>
    </r>
  </si>
  <si>
    <r>
      <rPr>
        <sz val="10"/>
        <color rgb="FF222222"/>
        <rFont val="WenQuanYi Zen Hei"/>
        <family val="2"/>
      </rPr>
      <t xml:space="preserve">クレファス（</t>
    </r>
    <r>
      <rPr>
        <sz val="10"/>
        <color rgb="FF222222"/>
        <rFont val="Meiryo"/>
        <family val="0"/>
        <charset val="1"/>
      </rPr>
      <t xml:space="preserve">Crefus</t>
    </r>
    <r>
      <rPr>
        <sz val="10"/>
        <color rgb="FF222222"/>
        <rFont val="WenQuanYi Zen Hei"/>
        <family val="2"/>
      </rPr>
      <t xml:space="preserve">）</t>
    </r>
  </si>
  <si>
    <r>
      <rPr>
        <sz val="10"/>
        <color rgb="FF222222"/>
        <rFont val="WenQuanYi Zen Hei"/>
        <family val="2"/>
      </rPr>
      <t xml:space="preserve">株式会社ロボット科学教育＋</t>
    </r>
    <r>
      <rPr>
        <sz val="10"/>
        <color rgb="FF222222"/>
        <rFont val="Meiryo"/>
        <family val="0"/>
        <charset val="1"/>
      </rPr>
      <t xml:space="preserve">CREFUS</t>
    </r>
    <r>
      <rPr>
        <sz val="10"/>
        <color rgb="FF222222"/>
        <rFont val="WenQuanYi Zen Hei"/>
        <family val="2"/>
      </rPr>
      <t xml:space="preserve">マーケティング（中央出版との合弁）</t>
    </r>
  </si>
  <si>
    <r>
      <rPr>
        <sz val="10"/>
        <color rgb="FF222222"/>
        <rFont val="WenQuanYi Zen Hei"/>
        <family val="2"/>
      </rPr>
      <t xml:space="preserve">年長〜高校生（年長〜小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は</t>
    </r>
    <r>
      <rPr>
        <sz val="10"/>
        <color rgb="FF222222"/>
        <rFont val="Meiryo"/>
        <family val="0"/>
        <charset val="1"/>
      </rPr>
      <t xml:space="preserve">Kicks</t>
    </r>
    <r>
      <rPr>
        <sz val="10"/>
        <color rgb="FF222222"/>
        <rFont val="WenQuanYi Zen Hei"/>
        <family val="2"/>
      </rPr>
      <t xml:space="preserve">）</t>
    </r>
  </si>
  <si>
    <r>
      <rPr>
        <sz val="10"/>
        <color rgb="FF222222"/>
        <rFont val="Meiryo"/>
        <family val="0"/>
        <charset val="1"/>
      </rPr>
      <t xml:space="preserve">112</t>
    </r>
    <r>
      <rPr>
        <sz val="10"/>
        <color rgb="FF222222"/>
        <rFont val="WenQuanYi Zen Hei"/>
        <family val="2"/>
      </rPr>
      <t xml:space="preserve">教室（時点不明）＋海外（ホーチミン・台北）</t>
    </r>
  </si>
  <si>
    <r>
      <rPr>
        <sz val="10"/>
        <color rgb="FF222222"/>
        <rFont val="WenQuanYi Zen Hei"/>
        <family val="2"/>
      </rPr>
      <t xml:space="preserve">直営＋</t>
    </r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（塾併設が多い）</t>
    </r>
  </si>
  <si>
    <r>
      <rPr>
        <sz val="10"/>
        <color rgb="FF222222"/>
        <rFont val="Meiryo"/>
        <family val="0"/>
        <charset val="1"/>
      </rPr>
      <t xml:space="preserve">Kicks 11,000</t>
    </r>
    <r>
      <rPr>
        <sz val="10"/>
        <color rgb="FF222222"/>
        <rFont val="WenQuanYi Zen Hei"/>
        <family val="2"/>
      </rPr>
      <t xml:space="preserve">円／本科 </t>
    </r>
    <r>
      <rPr>
        <sz val="10"/>
        <color rgb="FF222222"/>
        <rFont val="Meiryo"/>
        <family val="0"/>
        <charset val="1"/>
      </rPr>
      <t xml:space="preserve">17,600</t>
    </r>
    <r>
      <rPr>
        <sz val="10"/>
        <color rgb="FF222222"/>
        <rFont val="WenQuanYi Zen Hei"/>
        <family val="2"/>
      </rPr>
      <t xml:space="preserve">円＋維持費</t>
    </r>
    <r>
      <rPr>
        <sz val="10"/>
        <color rgb="FF222222"/>
        <rFont val="Meiryo"/>
        <family val="0"/>
        <charset val="1"/>
      </rPr>
      <t xml:space="preserve">1,210</t>
    </r>
    <r>
      <rPr>
        <sz val="10"/>
        <color rgb="FF222222"/>
        <rFont val="WenQuanYi Zen Hei"/>
        <family val="2"/>
      </rPr>
      <t xml:space="preserve">円</t>
    </r>
  </si>
  <si>
    <r>
      <rPr>
        <sz val="10"/>
        <color rgb="FF222222"/>
        <rFont val="Meiryo"/>
        <family val="0"/>
        <charset val="1"/>
      </rPr>
      <t xml:space="preserve">LEGO</t>
    </r>
    <r>
      <rPr>
        <sz val="10"/>
        <color rgb="FF222222"/>
        <rFont val="WenQuanYi Zen Hei"/>
        <family val="2"/>
      </rPr>
      <t xml:space="preserve">ベース（</t>
    </r>
    <r>
      <rPr>
        <sz val="10"/>
        <color rgb="FF222222"/>
        <rFont val="Meiryo"/>
        <family val="0"/>
        <charset val="1"/>
      </rPr>
      <t xml:space="preserve">LEGO Education/</t>
    </r>
    <r>
      <rPr>
        <sz val="10"/>
        <color rgb="FF222222"/>
        <rFont val="WenQuanYi Zen Hei"/>
        <family val="2"/>
      </rPr>
      <t xml:space="preserve">マインドストーム系）＋独自テキスト／購入制（年長・小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・小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・小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の節目で買い足し）</t>
    </r>
  </si>
  <si>
    <r>
      <rPr>
        <sz val="10"/>
        <color rgb="FF222222"/>
        <rFont val="WenQuanYi Zen Hei"/>
        <family val="2"/>
      </rPr>
      <t xml:space="preserve">アルバイト講師／時給</t>
    </r>
    <r>
      <rPr>
        <sz val="10"/>
        <color rgb="FF222222"/>
        <rFont val="Meiryo"/>
        <family val="0"/>
        <charset val="1"/>
      </rPr>
      <t xml:space="preserve">2,000</t>
    </r>
    <r>
      <rPr>
        <sz val="10"/>
        <color rgb="FF222222"/>
        <rFont val="WenQuanYi Zen Hei"/>
        <family val="2"/>
      </rPr>
      <t xml:space="preserve">円以上</t>
    </r>
  </si>
  <si>
    <r>
      <rPr>
        <sz val="10"/>
        <color rgb="FF222222"/>
        <rFont val="WenQuanYi Zen Hei"/>
        <family val="2"/>
      </rPr>
      <t xml:space="preserve">本格的なカリキュラム、</t>
    </r>
    <r>
      <rPr>
        <sz val="10"/>
        <color rgb="FF222222"/>
        <rFont val="Meiryo"/>
        <family val="0"/>
        <charset val="1"/>
      </rPr>
      <t xml:space="preserve">FLL</t>
    </r>
    <r>
      <rPr>
        <sz val="10"/>
        <color rgb="FF222222"/>
        <rFont val="WenQuanYi Zen Hei"/>
        <family val="2"/>
      </rPr>
      <t xml:space="preserve">等の大会実績が豊富、中高生まで続けられる、教科と連動</t>
    </r>
  </si>
  <si>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年総額が最も高い部類（推定</t>
    </r>
    <r>
      <rPr>
        <sz val="10"/>
        <color rgb="FF222222"/>
        <rFont val="Meiryo"/>
        <family val="0"/>
        <charset val="1"/>
      </rPr>
      <t xml:space="preserve">70</t>
    </r>
    <r>
      <rPr>
        <sz val="10"/>
        <color rgb="FF222222"/>
        <rFont val="WenQuanYi Zen Hei"/>
        <family val="2"/>
      </rPr>
      <t xml:space="preserve">万円超）。大会志向で上級者向けの印象。教材の買い替え負担</t>
    </r>
  </si>
  <si>
    <t xml:space="preserve">アーテック エジソンアカデミー</t>
  </si>
  <si>
    <t xml:space="preserve">株式会社アーテック（教材メーカー）</t>
  </si>
  <si>
    <r>
      <rPr>
        <sz val="10"/>
        <color rgb="FF222222"/>
        <rFont val="WenQuanYi Zen Hei"/>
        <family val="2"/>
      </rPr>
      <t xml:space="preserve">小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以上（低学年は姉妹コース「自考力キッズ」）</t>
    </r>
  </si>
  <si>
    <r>
      <rPr>
        <sz val="10"/>
        <color rgb="FF222222"/>
        <rFont val="WenQuanYi Zen Hei"/>
        <family val="2"/>
      </rPr>
      <t xml:space="preserve">約</t>
    </r>
    <r>
      <rPr>
        <sz val="10"/>
        <color rgb="FF222222"/>
        <rFont val="Meiryo"/>
        <family val="0"/>
        <charset val="1"/>
      </rPr>
      <t xml:space="preserve">850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900</t>
    </r>
    <r>
      <rPr>
        <sz val="10"/>
        <color rgb="FF222222"/>
        <rFont val="WenQuanYi Zen Hei"/>
        <family val="2"/>
      </rPr>
      <t xml:space="preserve">教室（</t>
    </r>
    <r>
      <rPr>
        <sz val="10"/>
        <color rgb="FF222222"/>
        <rFont val="Meiryo"/>
        <family val="0"/>
        <charset val="1"/>
      </rPr>
      <t xml:space="preserve">2021</t>
    </r>
    <r>
      <rPr>
        <sz val="10"/>
        <color rgb="FF222222"/>
        <rFont val="WenQuanYi Zen Hei"/>
        <family val="2"/>
      </rPr>
      <t xml:space="preserve">年頃の数値、最新は未確認）</t>
    </r>
  </si>
  <si>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（塾・</t>
    </r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教室の併設中心）</t>
    </r>
  </si>
  <si>
    <r>
      <rPr>
        <sz val="10"/>
        <color rgb="FF222222"/>
        <rFont val="Meiryo"/>
        <family val="0"/>
        <charset val="1"/>
      </rPr>
      <t xml:space="preserve">8,000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12,000</t>
    </r>
    <r>
      <rPr>
        <sz val="10"/>
        <color rgb="FF222222"/>
        <rFont val="WenQuanYi Zen Hei"/>
        <family val="2"/>
      </rPr>
      <t xml:space="preserve">円程度（教室ごと、本部は非公表）</t>
    </r>
  </si>
  <si>
    <r>
      <rPr>
        <sz val="10"/>
        <color rgb="FF222222"/>
        <rFont val="WenQuanYi Zen Hei"/>
        <family val="2"/>
      </rPr>
      <t xml:space="preserve">自社製アーテックロボ／</t>
    </r>
    <r>
      <rPr>
        <sz val="10"/>
        <color rgb="FF222222"/>
        <rFont val="Meiryo"/>
        <family val="0"/>
        <charset val="1"/>
      </rPr>
      <t xml:space="preserve">Studuino</t>
    </r>
    <r>
      <rPr>
        <sz val="10"/>
        <color rgb="FF222222"/>
        <rFont val="WenQuanYi Zen Hei"/>
        <family val="2"/>
      </rPr>
      <t xml:space="preserve">（</t>
    </r>
    <r>
      <rPr>
        <sz val="10"/>
        <color rgb="FF222222"/>
        <rFont val="Meiryo"/>
        <family val="0"/>
        <charset val="1"/>
      </rPr>
      <t xml:space="preserve">Scratch</t>
    </r>
    <r>
      <rPr>
        <sz val="10"/>
        <color rgb="FF222222"/>
        <rFont val="WenQuanYi Zen Hei"/>
        <family val="2"/>
      </rPr>
      <t xml:space="preserve">ベース）／買い取り制・持ち帰り可</t>
    </r>
  </si>
  <si>
    <t xml:space="preserve">加盟教室ごとに採用／要確認</t>
  </si>
  <si>
    <t xml:space="preserve">料金が比較的安い、少人数、毎月ロボットが完成する達成感、持ち帰って家で遊べる</t>
  </si>
  <si>
    <r>
      <rPr>
        <sz val="10"/>
        <color rgb="FF222222"/>
        <rFont val="WenQuanYi Zen Hei"/>
        <family val="2"/>
      </rPr>
      <t xml:space="preserve">対象が小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以上中心。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年で一巡し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年目以降は任意。</t>
    </r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で講師の熱量・専門性が教室依存。料金非公開</t>
    </r>
  </si>
  <si>
    <t xml:space="preserve">プログラボ</t>
  </si>
  <si>
    <t xml:space="preserve">プログラボ教育事業運営委員会（ミマモルメ〈阪神電鉄子会社〉＋読売テレビ）。関東は東京メトロと協業</t>
  </si>
  <si>
    <r>
      <rPr>
        <sz val="10"/>
        <color rgb="FF222222"/>
        <rFont val="Meiryo"/>
        <family val="0"/>
        <charset val="1"/>
      </rPr>
      <t xml:space="preserve">84</t>
    </r>
    <r>
      <rPr>
        <sz val="10"/>
        <color rgb="FF222222"/>
        <rFont val="WenQuanYi Zen Hei"/>
        <family val="2"/>
      </rPr>
      <t xml:space="preserve">校・在籍約</t>
    </r>
    <r>
      <rPr>
        <sz val="10"/>
        <color rgb="FF222222"/>
        <rFont val="Meiryo"/>
        <family val="0"/>
        <charset val="1"/>
      </rPr>
      <t xml:space="preserve">8,000</t>
    </r>
    <r>
      <rPr>
        <sz val="10"/>
        <color rgb="FF222222"/>
        <rFont val="WenQuanYi Zen Hei"/>
        <family val="2"/>
      </rPr>
      <t xml:space="preserve">名（</t>
    </r>
    <r>
      <rPr>
        <sz val="10"/>
        <color rgb="FF222222"/>
        <rFont val="Meiryo"/>
        <family val="0"/>
        <charset val="1"/>
      </rPr>
      <t xml:space="preserve">2024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9</t>
    </r>
    <r>
      <rPr>
        <sz val="10"/>
        <color rgb="FF222222"/>
        <rFont val="WenQuanYi Zen Hei"/>
        <family val="2"/>
      </rPr>
      <t xml:space="preserve">月）</t>
    </r>
  </si>
  <si>
    <r>
      <rPr>
        <sz val="10"/>
        <color rgb="FF222222"/>
        <rFont val="WenQuanYi Zen Hei"/>
        <family val="2"/>
      </rPr>
      <t xml:space="preserve">直営中心＋</t>
    </r>
    <r>
      <rPr>
        <sz val="10"/>
        <color rgb="FF222222"/>
        <rFont val="Meiryo"/>
        <family val="0"/>
        <charset val="1"/>
      </rPr>
      <t xml:space="preserve">FC</t>
    </r>
  </si>
  <si>
    <r>
      <rPr>
        <sz val="10"/>
        <color rgb="FF222222"/>
        <rFont val="Meiryo"/>
        <family val="0"/>
        <charset val="1"/>
      </rPr>
      <t xml:space="preserve">11,770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14,850</t>
    </r>
    <r>
      <rPr>
        <sz val="10"/>
        <color rgb="FF222222"/>
        <rFont val="WenQuanYi Zen Hei"/>
        <family val="2"/>
      </rPr>
      <t xml:space="preserve">円</t>
    </r>
  </si>
  <si>
    <r>
      <rPr>
        <sz val="10"/>
        <color rgb="FF222222"/>
        <rFont val="Meiryo"/>
        <family val="0"/>
        <charset val="1"/>
      </rPr>
      <t xml:space="preserve">LEGO Education SPIKE Prime</t>
    </r>
    <r>
      <rPr>
        <sz val="10"/>
        <color rgb="FF222222"/>
        <rFont val="WenQuanYi Zen Hei"/>
        <family val="2"/>
      </rPr>
      <t xml:space="preserve">／</t>
    </r>
    <r>
      <rPr>
        <sz val="10"/>
        <color rgb="FF222222"/>
        <rFont val="Meiryo"/>
        <family val="0"/>
        <charset val="1"/>
      </rPr>
      <t xml:space="preserve">EV3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micro:bit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Scratch</t>
    </r>
    <r>
      <rPr>
        <sz val="10"/>
        <color rgb="FF222222"/>
        <rFont val="WenQuanYi Zen Hei"/>
        <family val="2"/>
      </rPr>
      <t xml:space="preserve">／教室で貸与（持ち帰り不可）</t>
    </r>
  </si>
  <si>
    <r>
      <rPr>
        <sz val="10"/>
        <color rgb="FF222222"/>
        <rFont val="WenQuanYi Zen Hei"/>
        <family val="2"/>
      </rPr>
      <t xml:space="preserve">アルバイト（学生歓迎）／時給</t>
    </r>
    <r>
      <rPr>
        <sz val="10"/>
        <color rgb="FF222222"/>
        <rFont val="Meiryo"/>
        <family val="0"/>
        <charset val="1"/>
      </rPr>
      <t xml:space="preserve">1,100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2,000</t>
    </r>
    <r>
      <rPr>
        <sz val="10"/>
        <color rgb="FF222222"/>
        <rFont val="WenQuanYi Zen Hei"/>
        <family val="2"/>
      </rPr>
      <t xml:space="preserve">円、研修時給</t>
    </r>
    <r>
      <rPr>
        <sz val="10"/>
        <color rgb="FF222222"/>
        <rFont val="Meiryo"/>
        <family val="0"/>
        <charset val="1"/>
      </rPr>
      <t xml:space="preserve">1,200</t>
    </r>
    <r>
      <rPr>
        <sz val="10"/>
        <color rgb="FF222222"/>
        <rFont val="WenQuanYi Zen Hei"/>
        <family val="2"/>
      </rPr>
      <t xml:space="preserve">円〜</t>
    </r>
  </si>
  <si>
    <r>
      <rPr>
        <sz val="10"/>
        <color rgb="FF222222"/>
        <rFont val="WenQuanYi Zen Hei"/>
        <family val="2"/>
      </rPr>
      <t xml:space="preserve">入会金・教材費</t>
    </r>
    <r>
      <rPr>
        <sz val="10"/>
        <color rgb="FF222222"/>
        <rFont val="Meiryo"/>
        <family val="0"/>
        <charset val="1"/>
      </rPr>
      <t xml:space="preserve">0</t>
    </r>
    <r>
      <rPr>
        <sz val="10"/>
        <color rgb="FF222222"/>
        <rFont val="WenQuanYi Zen Hei"/>
        <family val="2"/>
      </rPr>
      <t xml:space="preserve">円、駅近で通いやすい、講師が多く質問しやすい、</t>
    </r>
    <r>
      <rPr>
        <sz val="10"/>
        <color rgb="FF222222"/>
        <rFont val="Meiryo"/>
        <family val="0"/>
        <charset val="1"/>
      </rPr>
      <t xml:space="preserve">WRO</t>
    </r>
    <r>
      <rPr>
        <sz val="10"/>
        <color rgb="FF222222"/>
        <rFont val="WenQuanYi Zen Hei"/>
        <family val="2"/>
      </rPr>
      <t xml:space="preserve">への道</t>
    </r>
  </si>
  <si>
    <r>
      <rPr>
        <sz val="10"/>
        <color rgb="FF222222"/>
        <rFont val="Meiryo"/>
        <family val="0"/>
        <charset val="1"/>
      </rPr>
      <t xml:space="preserve">LEGO</t>
    </r>
    <r>
      <rPr>
        <sz val="10"/>
        <color rgb="FF222222"/>
        <rFont val="WenQuanYi Zen Hei"/>
        <family val="2"/>
      </rPr>
      <t xml:space="preserve">既製品を組む中心。持ち帰り不可。学生講師中心でばらつき。鉄道沿線に立地が偏る</t>
    </r>
  </si>
  <si>
    <t xml:space="preserve">タミヤロボットスクール</t>
  </si>
  <si>
    <t xml:space="preserve">株式会社ナチュラルスタイル（福井）、企画協力：タミヤ</t>
  </si>
  <si>
    <t xml:space="preserve">小学生（下限学年は教室ごと）</t>
  </si>
  <si>
    <r>
      <rPr>
        <sz val="10"/>
        <color rgb="FF222222"/>
        <rFont val="WenQuanYi Zen Hei"/>
        <family val="2"/>
      </rPr>
      <t xml:space="preserve">約</t>
    </r>
    <r>
      <rPr>
        <sz val="10"/>
        <color rgb="FF222222"/>
        <rFont val="Meiryo"/>
        <family val="0"/>
        <charset val="1"/>
      </rPr>
      <t xml:space="preserve">100</t>
    </r>
    <r>
      <rPr>
        <sz val="10"/>
        <color rgb="FF222222"/>
        <rFont val="WenQuanYi Zen Hei"/>
        <family val="2"/>
      </rPr>
      <t xml:space="preserve">教室（古い数値、最新は未確認）</t>
    </r>
  </si>
  <si>
    <t xml:space="preserve">FC</t>
  </si>
  <si>
    <r>
      <rPr>
        <sz val="10"/>
        <color rgb="FF222222"/>
        <rFont val="Meiryo"/>
        <family val="0"/>
        <charset val="1"/>
      </rPr>
      <t xml:space="preserve">6,500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8,500</t>
    </r>
    <r>
      <rPr>
        <sz val="10"/>
        <color rgb="FF222222"/>
        <rFont val="WenQuanYi Zen Hei"/>
        <family val="2"/>
      </rPr>
      <t xml:space="preserve">円</t>
    </r>
  </si>
  <si>
    <r>
      <rPr>
        <sz val="10"/>
        <color rgb="FF222222"/>
        <rFont val="WenQuanYi Zen Hei"/>
        <family val="2"/>
      </rPr>
      <t xml:space="preserve">タミヤ工作キット＋</t>
    </r>
    <r>
      <rPr>
        <sz val="10"/>
        <color rgb="FF222222"/>
        <rFont val="Meiryo"/>
        <family val="0"/>
        <charset val="1"/>
      </rPr>
      <t xml:space="preserve">IchigoJam</t>
    </r>
    <r>
      <rPr>
        <sz val="10"/>
        <color rgb="FF222222"/>
        <rFont val="WenQuanYi Zen Hei"/>
        <family val="2"/>
      </rPr>
      <t xml:space="preserve">（既製品）／購入制・持ち帰り可</t>
    </r>
  </si>
  <si>
    <t xml:space="preserve">加盟事業者ごとに採用／要確認</t>
  </si>
  <si>
    <t xml:space="preserve">月謝が業界最安クラス、タミヤブランドの安心感、本物の工作（ギア・モーター）、早期にテキストプログラミング</t>
  </si>
  <si>
    <t xml:space="preserve">教室数が少なく知名度はタミヤ頼み。低学年・未就学への対応が弱い。キット組立中心で自由な発想の比重は限定的</t>
  </si>
  <si>
    <t xml:space="preserve">低</t>
  </si>
  <si>
    <t xml:space="preserve">プログラミング特化</t>
  </si>
  <si>
    <r>
      <rPr>
        <sz val="10"/>
        <color rgb="FF222222"/>
        <rFont val="Meiryo"/>
        <family val="0"/>
        <charset val="1"/>
      </rPr>
      <t xml:space="preserve">LITALICO</t>
    </r>
    <r>
      <rPr>
        <sz val="10"/>
        <color rgb="FF222222"/>
        <rFont val="WenQuanYi Zen Hei"/>
        <family val="2"/>
      </rPr>
      <t xml:space="preserve">ワンダー</t>
    </r>
  </si>
  <si>
    <r>
      <rPr>
        <sz val="10"/>
        <color rgb="FF222222"/>
        <rFont val="WenQuanYi Zen Hei"/>
        <family val="2"/>
      </rPr>
      <t xml:space="preserve">株式会社</t>
    </r>
    <r>
      <rPr>
        <sz val="10"/>
        <color rgb="FF222222"/>
        <rFont val="Meiryo"/>
        <family val="0"/>
        <charset val="1"/>
      </rPr>
      <t xml:space="preserve">LITALICO</t>
    </r>
    <r>
      <rPr>
        <sz val="10"/>
        <color rgb="FF222222"/>
        <rFont val="WenQuanYi Zen Hei"/>
        <family val="2"/>
      </rPr>
      <t xml:space="preserve">（東証プライム）</t>
    </r>
  </si>
  <si>
    <r>
      <rPr>
        <sz val="10"/>
        <color rgb="FF222222"/>
        <rFont val="WenQuanYi Zen Hei"/>
        <family val="2"/>
      </rPr>
      <t xml:space="preserve">年長〜高</t>
    </r>
    <r>
      <rPr>
        <sz val="10"/>
        <color rgb="FF222222"/>
        <rFont val="Meiryo"/>
        <family val="0"/>
        <charset val="1"/>
      </rPr>
      <t xml:space="preserve">3</t>
    </r>
  </si>
  <si>
    <r>
      <rPr>
        <sz val="10"/>
        <color rgb="FF222222"/>
        <rFont val="Meiryo"/>
        <family val="0"/>
        <charset val="1"/>
      </rPr>
      <t xml:space="preserve">23</t>
    </r>
    <r>
      <rPr>
        <sz val="10"/>
        <color rgb="FF222222"/>
        <rFont val="WenQuanYi Zen Hei"/>
        <family val="2"/>
      </rPr>
      <t xml:space="preserve">拠点（</t>
    </r>
    <r>
      <rPr>
        <sz val="10"/>
        <color rgb="FF222222"/>
        <rFont val="Meiryo"/>
        <family val="0"/>
        <charset val="1"/>
      </rPr>
      <t xml:space="preserve">2026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WenQuanYi Zen Hei"/>
        <family val="2"/>
      </rPr>
      <t xml:space="preserve">月末）＋オンライン、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都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県のみ</t>
    </r>
  </si>
  <si>
    <t xml:space="preserve">直営</t>
  </si>
  <si>
    <r>
      <rPr>
        <sz val="10"/>
        <color rgb="FF222222"/>
        <rFont val="Meiryo"/>
        <family val="0"/>
        <charset val="1"/>
      </rPr>
      <t xml:space="preserve">29,700</t>
    </r>
    <r>
      <rPr>
        <sz val="10"/>
        <color rgb="FF222222"/>
        <rFont val="WenQuanYi Zen Hei"/>
        <family val="2"/>
      </rPr>
      <t xml:space="preserve">円〜（エキスパート・</t>
    </r>
    <r>
      <rPr>
        <sz val="10"/>
        <color rgb="FF222222"/>
        <rFont val="Meiryo"/>
        <family val="0"/>
        <charset val="1"/>
      </rPr>
      <t xml:space="preserve">3DCG 34,100</t>
    </r>
    <r>
      <rPr>
        <sz val="10"/>
        <color rgb="FF222222"/>
        <rFont val="WenQuanYi Zen Hei"/>
        <family val="2"/>
      </rPr>
      <t xml:space="preserve">円〜）</t>
    </r>
  </si>
  <si>
    <r>
      <rPr>
        <sz val="10"/>
        <color rgb="FF222222"/>
        <rFont val="Meiryo"/>
        <family val="0"/>
        <charset val="1"/>
      </rPr>
      <t xml:space="preserve">Scratch</t>
    </r>
    <r>
      <rPr>
        <sz val="10"/>
        <color rgb="FF222222"/>
        <rFont val="WenQuanYi Zen Hei"/>
        <family val="2"/>
      </rPr>
      <t xml:space="preserve">／</t>
    </r>
    <r>
      <rPr>
        <sz val="10"/>
        <color rgb="FF222222"/>
        <rFont val="Meiryo"/>
        <family val="0"/>
        <charset val="1"/>
      </rPr>
      <t xml:space="preserve">Viscuit→HTML/JS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LEGO SPIKE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3D</t>
    </r>
    <r>
      <rPr>
        <sz val="10"/>
        <color rgb="FF222222"/>
        <rFont val="WenQuanYi Zen Hei"/>
        <family val="2"/>
      </rPr>
      <t xml:space="preserve">プリンタ・レーザーカッター／教室備品（月謝込み）</t>
    </r>
  </si>
  <si>
    <r>
      <rPr>
        <sz val="10"/>
        <color rgb="FF222222"/>
        <rFont val="WenQuanYi Zen Hei"/>
        <family val="2"/>
      </rPr>
      <t xml:space="preserve">正社員中心＋研修済みアルバイト／アルバイト時給</t>
    </r>
    <r>
      <rPr>
        <sz val="10"/>
        <color rgb="FF222222"/>
        <rFont val="Meiryo"/>
        <family val="0"/>
        <charset val="1"/>
      </rPr>
      <t xml:space="preserve">1,230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1,500</t>
    </r>
    <r>
      <rPr>
        <sz val="10"/>
        <color rgb="FF222222"/>
        <rFont val="WenQuanYi Zen Hei"/>
        <family val="2"/>
      </rPr>
      <t xml:space="preserve">円</t>
    </r>
  </si>
  <si>
    <t xml:space="preserve">先生の質・子ども理解、少人数・個別対応、好きを伸ばす自由度、設備が充実</t>
  </si>
  <si>
    <r>
      <rPr>
        <sz val="10"/>
        <color rgb="FF222222"/>
        <rFont val="WenQuanYi Zen Hei"/>
        <family val="2"/>
      </rPr>
      <t xml:space="preserve">月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万円前後で家計負担大。拠点が少ない。自由創作型で「何が身についたか」が見えにくい</t>
    </r>
  </si>
  <si>
    <t xml:space="preserve">Tech Kids School</t>
  </si>
  <si>
    <r>
      <rPr>
        <sz val="10"/>
        <color rgb="FF222222"/>
        <rFont val="WenQuanYi Zen Hei"/>
        <family val="2"/>
      </rPr>
      <t xml:space="preserve">株式会社</t>
    </r>
    <r>
      <rPr>
        <sz val="10"/>
        <color rgb="FF222222"/>
        <rFont val="Meiryo"/>
        <family val="0"/>
        <charset val="1"/>
      </rPr>
      <t xml:space="preserve">CA Tech Kids</t>
    </r>
    <r>
      <rPr>
        <sz val="10"/>
        <color rgb="FF222222"/>
        <rFont val="WenQuanYi Zen Hei"/>
        <family val="2"/>
      </rPr>
      <t xml:space="preserve">（サイバーエージェント子会社）</t>
    </r>
  </si>
  <si>
    <t xml:space="preserve">小学生</t>
  </si>
  <si>
    <r>
      <rPr>
        <sz val="10"/>
        <color rgb="FF222222"/>
        <rFont val="WenQuanYi Zen Hei"/>
        <family val="2"/>
      </rPr>
      <t xml:space="preserve">渋谷校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校＋オンライン校。【新規の体験・入学受付を停止中】</t>
    </r>
  </si>
  <si>
    <r>
      <rPr>
        <sz val="10"/>
        <color rgb="FF222222"/>
        <rFont val="Meiryo"/>
        <family val="0"/>
        <charset val="1"/>
      </rPr>
      <t xml:space="preserve">23,210</t>
    </r>
    <r>
      <rPr>
        <sz val="10"/>
        <color rgb="FF222222"/>
        <rFont val="WenQuanYi Zen Hei"/>
        <family val="2"/>
      </rPr>
      <t xml:space="preserve">円＋教材費</t>
    </r>
    <r>
      <rPr>
        <sz val="10"/>
        <color rgb="FF222222"/>
        <rFont val="Meiryo"/>
        <family val="0"/>
        <charset val="1"/>
      </rPr>
      <t xml:space="preserve">2,200</t>
    </r>
    <r>
      <rPr>
        <sz val="10"/>
        <color rgb="FF222222"/>
        <rFont val="WenQuanYi Zen Hei"/>
        <family val="2"/>
      </rPr>
      <t xml:space="preserve">円（</t>
    </r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レンタル＋</t>
    </r>
    <r>
      <rPr>
        <sz val="10"/>
        <color rgb="FF222222"/>
        <rFont val="Meiryo"/>
        <family val="0"/>
        <charset val="1"/>
      </rPr>
      <t xml:space="preserve">4,400</t>
    </r>
    <r>
      <rPr>
        <sz val="10"/>
        <color rgb="FF222222"/>
        <rFont val="WenQuanYi Zen Hei"/>
        <family val="2"/>
      </rPr>
      <t xml:space="preserve">円）</t>
    </r>
  </si>
  <si>
    <r>
      <rPr>
        <sz val="10"/>
        <color rgb="FF222222"/>
        <rFont val="Meiryo"/>
        <family val="0"/>
        <charset val="1"/>
      </rPr>
      <t xml:space="preserve">QUREO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Scratch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Swift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Unity</t>
    </r>
    <r>
      <rPr>
        <sz val="10"/>
        <color rgb="FF222222"/>
        <rFont val="WenQuanYi Zen Hei"/>
        <family val="2"/>
      </rPr>
      <t xml:space="preserve">／</t>
    </r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持参 </t>
    </r>
    <r>
      <rPr>
        <sz val="10"/>
        <color rgb="FF222222"/>
        <rFont val="Meiryo"/>
        <family val="0"/>
        <charset val="1"/>
      </rPr>
      <t xml:space="preserve">or </t>
    </r>
    <r>
      <rPr>
        <sz val="10"/>
        <color rgb="FF222222"/>
        <rFont val="WenQuanYi Zen Hei"/>
        <family val="2"/>
      </rPr>
      <t xml:space="preserve">レンタル</t>
    </r>
  </si>
  <si>
    <t xml:space="preserve">学生スタッフ（大学生・院生メンター）／要確認</t>
  </si>
  <si>
    <t xml:space="preserve">本格度（アプリ公開・大会入賞）、発表文化、サイバーエージェントブランド</t>
  </si>
  <si>
    <r>
      <rPr>
        <sz val="10"/>
        <color rgb="FF222222"/>
        <rFont val="WenQuanYi Zen Hei"/>
        <family val="2"/>
      </rPr>
      <t xml:space="preserve">新規受付停止（事業縮小・</t>
    </r>
    <r>
      <rPr>
        <sz val="10"/>
        <color rgb="FF222222"/>
        <rFont val="Meiryo"/>
        <family val="0"/>
        <charset val="1"/>
      </rPr>
      <t xml:space="preserve">QUREO</t>
    </r>
    <r>
      <rPr>
        <sz val="10"/>
        <color rgb="FF222222"/>
        <rFont val="WenQuanYi Zen Hei"/>
        <family val="2"/>
      </rPr>
      <t xml:space="preserve">へのシフトの可能性）。拠点が渋谷のみ。画面内学習に偏る</t>
    </r>
  </si>
  <si>
    <r>
      <rPr>
        <sz val="10"/>
        <color rgb="FF222222"/>
        <rFont val="Meiryo"/>
        <family val="0"/>
        <charset val="1"/>
      </rPr>
      <t xml:space="preserve">QUREO</t>
    </r>
    <r>
      <rPr>
        <sz val="10"/>
        <color rgb="FF222222"/>
        <rFont val="WenQuanYi Zen Hei"/>
        <family val="2"/>
      </rPr>
      <t xml:space="preserve">プログラミング教室</t>
    </r>
  </si>
  <si>
    <r>
      <rPr>
        <sz val="10"/>
        <color rgb="FF222222"/>
        <rFont val="WenQuanYi Zen Hei"/>
        <family val="2"/>
      </rPr>
      <t xml:space="preserve">株式会社キュレオ（</t>
    </r>
    <r>
      <rPr>
        <sz val="10"/>
        <color rgb="FF222222"/>
        <rFont val="Meiryo"/>
        <family val="0"/>
        <charset val="1"/>
      </rPr>
      <t xml:space="preserve">CA Tech Kids 60%</t>
    </r>
    <r>
      <rPr>
        <sz val="10"/>
        <color rgb="FF222222"/>
        <rFont val="WenQuanYi Zen Hei"/>
        <family val="2"/>
      </rPr>
      <t xml:space="preserve">・スプリックス </t>
    </r>
    <r>
      <rPr>
        <sz val="10"/>
        <color rgb="FF222222"/>
        <rFont val="Meiryo"/>
        <family val="0"/>
        <charset val="1"/>
      </rPr>
      <t xml:space="preserve">40%</t>
    </r>
    <r>
      <rPr>
        <sz val="10"/>
        <color rgb="FF222222"/>
        <rFont val="WenQuanYi Zen Hei"/>
        <family val="2"/>
      </rPr>
      <t xml:space="preserve">）。各教室は加盟塾が運営</t>
    </r>
  </si>
  <si>
    <r>
      <rPr>
        <sz val="10"/>
        <color rgb="FF222222"/>
        <rFont val="WenQuanYi Zen Hei"/>
        <family val="2"/>
      </rPr>
      <t xml:space="preserve">小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〜中学生</t>
    </r>
  </si>
  <si>
    <r>
      <rPr>
        <sz val="10"/>
        <color rgb="FF222222"/>
        <rFont val="Meiryo"/>
        <family val="0"/>
        <charset val="1"/>
      </rPr>
      <t xml:space="preserve">3,000</t>
    </r>
    <r>
      <rPr>
        <sz val="10"/>
        <color rgb="FF222222"/>
        <rFont val="WenQuanYi Zen Hei"/>
        <family val="2"/>
      </rPr>
      <t xml:space="preserve">教室超（</t>
    </r>
    <r>
      <rPr>
        <sz val="10"/>
        <color rgb="FF222222"/>
        <rFont val="Meiryo"/>
        <family val="0"/>
        <charset val="1"/>
      </rPr>
      <t xml:space="preserve">2024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月）、最新表記 </t>
    </r>
    <r>
      <rPr>
        <sz val="10"/>
        <color rgb="FF222222"/>
        <rFont val="Meiryo"/>
        <family val="0"/>
        <charset val="1"/>
      </rPr>
      <t xml:space="preserve">3,272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3,300</t>
    </r>
    <r>
      <rPr>
        <sz val="10"/>
        <color rgb="FF222222"/>
        <rFont val="WenQuanYi Zen Hei"/>
        <family val="2"/>
      </rPr>
      <t xml:space="preserve">教室</t>
    </r>
  </si>
  <si>
    <t xml:space="preserve">加盟（ライセンス）型・学習塾への併設中心</t>
  </si>
  <si>
    <r>
      <rPr>
        <sz val="10"/>
        <color rgb="FF222222"/>
        <rFont val="Meiryo"/>
        <family val="0"/>
        <charset val="1"/>
      </rPr>
      <t xml:space="preserve">9,900</t>
    </r>
    <r>
      <rPr>
        <sz val="10"/>
        <color rgb="FF222222"/>
        <rFont val="WenQuanYi Zen Hei"/>
        <family val="2"/>
      </rPr>
      <t xml:space="preserve">円〜（教室ごと）</t>
    </r>
  </si>
  <si>
    <r>
      <rPr>
        <sz val="10"/>
        <color rgb="FF222222"/>
        <rFont val="WenQuanYi Zen Hei"/>
        <family val="2"/>
      </rPr>
      <t xml:space="preserve">独自オンライン教材</t>
    </r>
    <r>
      <rPr>
        <sz val="10"/>
        <color rgb="FF222222"/>
        <rFont val="Meiryo"/>
        <family val="0"/>
        <charset val="1"/>
      </rPr>
      <t xml:space="preserve">QUREO</t>
    </r>
    <r>
      <rPr>
        <sz val="10"/>
        <color rgb="FF222222"/>
        <rFont val="WenQuanYi Zen Hei"/>
        <family val="2"/>
      </rPr>
      <t xml:space="preserve">＋教育版マインクラフト／アカウント型（</t>
    </r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等は教室備品が多い）</t>
    </r>
  </si>
  <si>
    <r>
      <rPr>
        <sz val="10"/>
        <color rgb="FF222222"/>
        <rFont val="WenQuanYi Zen Hei"/>
        <family val="2"/>
      </rPr>
      <t xml:space="preserve">加盟塾の講師／時給</t>
    </r>
    <r>
      <rPr>
        <sz val="10"/>
        <color rgb="FF222222"/>
        <rFont val="Meiryo"/>
        <family val="0"/>
        <charset val="1"/>
      </rPr>
      <t xml:space="preserve">1,300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1,680</t>
    </r>
    <r>
      <rPr>
        <sz val="10"/>
        <color rgb="FF222222"/>
        <rFont val="WenQuanYi Zen Hei"/>
        <family val="2"/>
      </rPr>
      <t xml:space="preserve">円程度（求人例）</t>
    </r>
  </si>
  <si>
    <r>
      <rPr>
        <sz val="10"/>
        <color rgb="FF222222"/>
        <rFont val="WenQuanYi Zen Hei"/>
        <family val="2"/>
      </rPr>
      <t xml:space="preserve">月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万円前後で安い、教材費無料、近所の塾で通える、ゲーム感覚、進捗が見える、検定で成果が形に</t>
    </r>
  </si>
  <si>
    <t xml:space="preserve">加盟塾ごとの講師品質差。画面内完結でハンズオン・協働が少ない。教室体験は塾依存</t>
  </si>
  <si>
    <t xml:space="preserve">オンライン・通信</t>
  </si>
  <si>
    <r>
      <rPr>
        <sz val="10"/>
        <color rgb="FF222222"/>
        <rFont val="Meiryo"/>
        <family val="0"/>
        <charset val="1"/>
      </rPr>
      <t xml:space="preserve">Z</t>
    </r>
    <r>
      <rPr>
        <sz val="10"/>
        <color rgb="FF222222"/>
        <rFont val="WenQuanYi Zen Hei"/>
        <family val="2"/>
      </rPr>
      <t xml:space="preserve">会プログラミング講座</t>
    </r>
  </si>
  <si>
    <r>
      <rPr>
        <sz val="10"/>
        <color rgb="FF222222"/>
        <rFont val="WenQuanYi Zen Hei"/>
        <family val="2"/>
      </rPr>
      <t xml:space="preserve">株式会社</t>
    </r>
    <r>
      <rPr>
        <sz val="10"/>
        <color rgb="FF222222"/>
        <rFont val="Meiryo"/>
        <family val="0"/>
        <charset val="1"/>
      </rPr>
      <t xml:space="preserve">Z</t>
    </r>
    <r>
      <rPr>
        <sz val="10"/>
        <color rgb="FF222222"/>
        <rFont val="WenQuanYi Zen Hei"/>
        <family val="2"/>
      </rPr>
      <t xml:space="preserve">会（増進会</t>
    </r>
    <r>
      <rPr>
        <sz val="10"/>
        <color rgb="FF222222"/>
        <rFont val="Meiryo"/>
        <family val="0"/>
        <charset val="1"/>
      </rPr>
      <t xml:space="preserve">HD</t>
    </r>
    <r>
      <rPr>
        <sz val="10"/>
        <color rgb="FF222222"/>
        <rFont val="WenQuanYi Zen Hei"/>
        <family val="2"/>
      </rPr>
      <t xml:space="preserve">グループ）</t>
    </r>
  </si>
  <si>
    <r>
      <rPr>
        <sz val="10"/>
        <color rgb="FF222222"/>
        <rFont val="WenQuanYi Zen Hei"/>
        <family val="2"/>
      </rPr>
      <t xml:space="preserve">年長〜中学生（みらい講座 ステージ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は小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）</t>
    </r>
  </si>
  <si>
    <t xml:space="preserve">通信教育（全国）</t>
  </si>
  <si>
    <t xml:space="preserve">通信（キット＋テキスト）</t>
  </si>
  <si>
    <r>
      <rPr>
        <sz val="10"/>
        <color rgb="FF222222"/>
        <rFont val="WenQuanYi Zen Hei"/>
        <family val="2"/>
      </rPr>
      <t xml:space="preserve">約</t>
    </r>
    <r>
      <rPr>
        <sz val="10"/>
        <color rgb="FF222222"/>
        <rFont val="Meiryo"/>
        <family val="0"/>
        <charset val="1"/>
      </rPr>
      <t xml:space="preserve">6,200</t>
    </r>
    <r>
      <rPr>
        <sz val="10"/>
        <color rgb="FF222222"/>
        <rFont val="WenQuanYi Zen Hei"/>
        <family val="2"/>
      </rPr>
      <t xml:space="preserve">円（</t>
    </r>
    <r>
      <rPr>
        <sz val="10"/>
        <color rgb="FF222222"/>
        <rFont val="Meiryo"/>
        <family val="0"/>
        <charset val="1"/>
      </rPr>
      <t xml:space="preserve">KOOV</t>
    </r>
    <r>
      <rPr>
        <sz val="10"/>
        <color rgb="FF222222"/>
        <rFont val="WenQuanYi Zen Hei"/>
        <family val="2"/>
      </rPr>
      <t xml:space="preserve">キット代込み）</t>
    </r>
  </si>
  <si>
    <r>
      <rPr>
        <sz val="10"/>
        <color rgb="FF222222"/>
        <rFont val="Meiryo"/>
        <family val="0"/>
        <charset val="1"/>
      </rPr>
      <t xml:space="preserve">KOOV</t>
    </r>
    <r>
      <rPr>
        <sz val="10"/>
        <color rgb="FF222222"/>
        <rFont val="WenQuanYi Zen Hei"/>
        <family val="2"/>
      </rPr>
      <t xml:space="preserve">アドバンスキット（ソニー）、</t>
    </r>
    <r>
      <rPr>
        <sz val="10"/>
        <color rgb="FF222222"/>
        <rFont val="Meiryo"/>
        <family val="0"/>
        <charset val="1"/>
      </rPr>
      <t xml:space="preserve">Scratch</t>
    </r>
    <r>
      <rPr>
        <sz val="10"/>
        <color rgb="FF222222"/>
        <rFont val="WenQuanYi Zen Hei"/>
        <family val="2"/>
      </rPr>
      <t xml:space="preserve">／キット所有</t>
    </r>
  </si>
  <si>
    <t xml:space="preserve">講師なし／—</t>
  </si>
  <si>
    <r>
      <rPr>
        <sz val="10"/>
        <color rgb="FF222222"/>
        <rFont val="WenQuanYi Zen Hei"/>
        <family val="2"/>
      </rPr>
      <t xml:space="preserve">自分のペースで学べる、</t>
    </r>
    <r>
      <rPr>
        <sz val="10"/>
        <color rgb="FF222222"/>
        <rFont val="Meiryo"/>
        <family val="0"/>
        <charset val="1"/>
      </rPr>
      <t xml:space="preserve">Z</t>
    </r>
    <r>
      <rPr>
        <sz val="10"/>
        <color rgb="FF222222"/>
        <rFont val="WenQuanYi Zen Hei"/>
        <family val="2"/>
      </rPr>
      <t xml:space="preserve">会ブランドの教材品質、キットを所有できて割安</t>
    </r>
  </si>
  <si>
    <r>
      <rPr>
        <sz val="10"/>
        <color rgb="FF222222"/>
        <rFont val="WenQuanYi Zen Hei"/>
        <family val="2"/>
      </rPr>
      <t xml:space="preserve">講座の新規受付終了・統廃合が続く（</t>
    </r>
    <r>
      <rPr>
        <sz val="10"/>
        <color rgb="FF222222"/>
        <rFont val="Meiryo"/>
        <family val="0"/>
        <charset val="1"/>
      </rPr>
      <t xml:space="preserve">LEGO</t>
    </r>
    <r>
      <rPr>
        <sz val="10"/>
        <color rgb="FF222222"/>
        <rFont val="WenQuanYi Zen Hei"/>
        <family val="2"/>
      </rPr>
      <t xml:space="preserve">講座</t>
    </r>
    <r>
      <rPr>
        <sz val="10"/>
        <color rgb="FF222222"/>
        <rFont val="Meiryo"/>
        <family val="0"/>
        <charset val="1"/>
      </rPr>
      <t xml:space="preserve">2023</t>
    </r>
    <r>
      <rPr>
        <sz val="10"/>
        <color rgb="FF222222"/>
        <rFont val="WenQuanYi Zen Hei"/>
        <family val="2"/>
      </rPr>
      <t xml:space="preserve">年、中学講座</t>
    </r>
    <r>
      <rPr>
        <sz val="10"/>
        <color rgb="FF222222"/>
        <rFont val="Meiryo"/>
        <family val="0"/>
        <charset val="1"/>
      </rPr>
      <t xml:space="preserve">2026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11</t>
    </r>
    <r>
      <rPr>
        <sz val="10"/>
        <color rgb="FF222222"/>
        <rFont val="WenQuanYi Zen Hei"/>
        <family val="2"/>
      </rPr>
      <t xml:space="preserve">月）。講師不在で継続は家庭次第</t>
    </r>
  </si>
  <si>
    <r>
      <rPr>
        <sz val="10"/>
        <color rgb="FF222222"/>
        <rFont val="WenQuanYi Zen Hei"/>
        <family val="2"/>
      </rPr>
      <t xml:space="preserve">デジタネ（旧</t>
    </r>
    <r>
      <rPr>
        <sz val="10"/>
        <color rgb="FF222222"/>
        <rFont val="Meiryo"/>
        <family val="0"/>
        <charset val="1"/>
      </rPr>
      <t xml:space="preserve">D-SCHOOL</t>
    </r>
    <r>
      <rPr>
        <sz val="10"/>
        <color rgb="FF222222"/>
        <rFont val="WenQuanYi Zen Hei"/>
        <family val="2"/>
      </rPr>
      <t xml:space="preserve">オンライン）</t>
    </r>
  </si>
  <si>
    <t xml:space="preserve">エデュケーショナル・デザイン株式会社（静岡）</t>
  </si>
  <si>
    <t xml:space="preserve">小中学生（要確認）</t>
  </si>
  <si>
    <r>
      <rPr>
        <sz val="10"/>
        <color rgb="FF222222"/>
        <rFont val="WenQuanYi Zen Hei"/>
        <family val="2"/>
      </rPr>
      <t xml:space="preserve">オンライン＋提携教室</t>
    </r>
    <r>
      <rPr>
        <sz val="10"/>
        <color rgb="FF222222"/>
        <rFont val="Meiryo"/>
        <family val="0"/>
        <charset val="1"/>
      </rPr>
      <t xml:space="preserve">100</t>
    </r>
    <r>
      <rPr>
        <sz val="10"/>
        <color rgb="FF222222"/>
        <rFont val="WenQuanYi Zen Hei"/>
        <family val="2"/>
      </rPr>
      <t xml:space="preserve">以上（要確認）、累計</t>
    </r>
    <r>
      <rPr>
        <sz val="10"/>
        <color rgb="FF222222"/>
        <rFont val="Meiryo"/>
        <family val="0"/>
        <charset val="1"/>
      </rPr>
      <t xml:space="preserve">5,000</t>
    </r>
    <r>
      <rPr>
        <sz val="10"/>
        <color rgb="FF222222"/>
        <rFont val="WenQuanYi Zen Hei"/>
        <family val="2"/>
      </rPr>
      <t xml:space="preserve">人超</t>
    </r>
  </si>
  <si>
    <t xml:space="preserve">オンライン受け放題＋ライセンス提携教室</t>
  </si>
  <si>
    <r>
      <rPr>
        <sz val="10"/>
        <color rgb="FF222222"/>
        <rFont val="Meiryo"/>
        <family val="0"/>
        <charset val="1"/>
      </rPr>
      <t xml:space="preserve">3,317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4,980</t>
    </r>
    <r>
      <rPr>
        <sz val="10"/>
        <color rgb="FF222222"/>
        <rFont val="WenQuanYi Zen Hei"/>
        <family val="2"/>
      </rPr>
      <t xml:space="preserve">円</t>
    </r>
  </si>
  <si>
    <r>
      <rPr>
        <sz val="10"/>
        <color rgb="FF222222"/>
        <rFont val="WenQuanYi Zen Hei"/>
        <family val="2"/>
      </rPr>
      <t xml:space="preserve">自社動画教材、</t>
    </r>
    <r>
      <rPr>
        <sz val="10"/>
        <color rgb="FF222222"/>
        <rFont val="Meiryo"/>
        <family val="0"/>
        <charset val="1"/>
      </rPr>
      <t xml:space="preserve">Minecraft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Roblox</t>
    </r>
    <r>
      <rPr>
        <sz val="10"/>
        <color rgb="FF222222"/>
        <rFont val="WenQuanYi Zen Hei"/>
        <family val="2"/>
      </rPr>
      <t xml:space="preserve">／—（</t>
    </r>
    <r>
      <rPr>
        <sz val="10"/>
        <color rgb="FF222222"/>
        <rFont val="Meiryo"/>
        <family val="0"/>
        <charset val="1"/>
      </rPr>
      <t xml:space="preserve">Minecraft Java</t>
    </r>
    <r>
      <rPr>
        <sz val="10"/>
        <color rgb="FF222222"/>
        <rFont val="WenQuanYi Zen Hei"/>
        <family val="2"/>
      </rPr>
      <t xml:space="preserve">版は別途購入）</t>
    </r>
  </si>
  <si>
    <t xml:space="preserve">要確認／要確認</t>
  </si>
  <si>
    <t xml:space="preserve">好きなゲームで夢中になれる、安い・入会金なし、受け放題</t>
  </si>
  <si>
    <t xml:space="preserve">ゲームプラットフォーム依存で物理・ものづくり要素が弱い。自走できない子は続かない</t>
  </si>
  <si>
    <t xml:space="preserve">CodeCampKIDS</t>
  </si>
  <si>
    <t xml:space="preserve">コードキャンプ株式会社（フューチャーグループ）</t>
  </si>
  <si>
    <r>
      <rPr>
        <sz val="10"/>
        <color rgb="FF222222"/>
        <rFont val="Meiryo"/>
        <family val="0"/>
        <charset val="1"/>
      </rPr>
      <t xml:space="preserve">40</t>
    </r>
    <r>
      <rPr>
        <sz val="10"/>
        <color rgb="FF222222"/>
        <rFont val="WenQuanYi Zen Hei"/>
        <family val="2"/>
      </rPr>
      <t xml:space="preserve">教室以上＋オンライン</t>
    </r>
  </si>
  <si>
    <r>
      <rPr>
        <sz val="10"/>
        <color rgb="FF222222"/>
        <rFont val="WenQuanYi Zen Hei"/>
        <family val="2"/>
      </rPr>
      <t xml:space="preserve">直営＋</t>
    </r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＋オンライン</t>
    </r>
  </si>
  <si>
    <r>
      <rPr>
        <sz val="10"/>
        <color rgb="FF222222"/>
        <rFont val="Meiryo"/>
        <family val="0"/>
        <charset val="1"/>
      </rPr>
      <t xml:space="preserve">11,000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16,500</t>
    </r>
    <r>
      <rPr>
        <sz val="10"/>
        <color rgb="FF222222"/>
        <rFont val="WenQuanYi Zen Hei"/>
        <family val="2"/>
      </rPr>
      <t xml:space="preserve">円（</t>
    </r>
    <r>
      <rPr>
        <sz val="10"/>
        <color rgb="FF222222"/>
        <rFont val="Meiryo"/>
        <family val="0"/>
        <charset val="1"/>
      </rPr>
      <t xml:space="preserve">Online+ </t>
    </r>
    <r>
      <rPr>
        <sz val="10"/>
        <color rgb="FF222222"/>
        <rFont val="WenQuanYi Zen Hei"/>
        <family val="2"/>
      </rPr>
      <t xml:space="preserve">約</t>
    </r>
    <r>
      <rPr>
        <sz val="10"/>
        <color rgb="FF222222"/>
        <rFont val="Meiryo"/>
        <family val="0"/>
        <charset val="1"/>
      </rPr>
      <t xml:space="preserve">6,600</t>
    </r>
    <r>
      <rPr>
        <sz val="10"/>
        <color rgb="FF222222"/>
        <rFont val="WenQuanYi Zen Hei"/>
        <family val="2"/>
      </rPr>
      <t xml:space="preserve">円）</t>
    </r>
  </si>
  <si>
    <r>
      <rPr>
        <sz val="10"/>
        <color rgb="FF222222"/>
        <rFont val="Meiryo"/>
        <family val="0"/>
        <charset val="1"/>
      </rPr>
      <t xml:space="preserve">ScratchJr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Scratch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toio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Sphero Mini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Unity</t>
    </r>
    <r>
      <rPr>
        <sz val="10"/>
        <color rgb="FF222222"/>
        <rFont val="WenQuanYi Zen Hei"/>
        <family val="2"/>
      </rPr>
      <t xml:space="preserve">／要確認</t>
    </r>
  </si>
  <si>
    <r>
      <rPr>
        <sz val="10"/>
        <color rgb="FF222222"/>
        <rFont val="WenQuanYi Zen Hei"/>
        <family val="2"/>
      </rPr>
      <t xml:space="preserve">アルバイト／時給</t>
    </r>
    <r>
      <rPr>
        <sz val="10"/>
        <color rgb="FF222222"/>
        <rFont val="Meiryo"/>
        <family val="0"/>
        <charset val="1"/>
      </rPr>
      <t xml:space="preserve">1,200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1,500</t>
    </r>
    <r>
      <rPr>
        <sz val="10"/>
        <color rgb="FF222222"/>
        <rFont val="WenQuanYi Zen Hei"/>
        <family val="2"/>
      </rPr>
      <t xml:space="preserve">円以上</t>
    </r>
  </si>
  <si>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か月お試しできる、教室がきれい、</t>
    </r>
    <r>
      <rPr>
        <sz val="10"/>
        <color rgb="FF222222"/>
        <rFont val="Meiryo"/>
        <family val="0"/>
        <charset val="1"/>
      </rPr>
      <t xml:space="preserve">Unity</t>
    </r>
    <r>
      <rPr>
        <sz val="10"/>
        <color rgb="FF222222"/>
        <rFont val="WenQuanYi Zen Hei"/>
        <family val="2"/>
      </rPr>
      <t xml:space="preserve">まで進める出口の高さ</t>
    </r>
  </si>
  <si>
    <r>
      <rPr>
        <sz val="10"/>
        <color rgb="FF222222"/>
        <rFont val="WenQuanYi Zen Hei"/>
        <family val="2"/>
      </rPr>
      <t xml:space="preserve">教室数</t>
    </r>
    <r>
      <rPr>
        <sz val="10"/>
        <color rgb="FF222222"/>
        <rFont val="Meiryo"/>
        <family val="0"/>
        <charset val="1"/>
      </rPr>
      <t xml:space="preserve">40</t>
    </r>
    <r>
      <rPr>
        <sz val="10"/>
        <color rgb="FF222222"/>
        <rFont val="WenQuanYi Zen Hei"/>
        <family val="2"/>
      </rPr>
      <t xml:space="preserve">強で首都圏中心。上位コースが高額。物理・ものづくり要素は薄い</t>
    </r>
  </si>
  <si>
    <r>
      <rPr>
        <b val="true"/>
        <sz val="14"/>
        <color rgb="FF1F2A44"/>
        <rFont val="WenQuanYi Zen Hei"/>
        <family val="2"/>
      </rPr>
      <t xml:space="preserve">料金比較（</t>
    </r>
    <r>
      <rPr>
        <b val="true"/>
        <sz val="14"/>
        <color rgb="FF1F2A44"/>
        <rFont val="Meiryo"/>
        <family val="0"/>
        <charset val="1"/>
      </rPr>
      <t xml:space="preserve">1</t>
    </r>
    <r>
      <rPr>
        <b val="true"/>
        <sz val="14"/>
        <color rgb="FF1F2A44"/>
        <rFont val="WenQuanYi Zen Hei"/>
        <family val="2"/>
      </rPr>
      <t xml:space="preserve">年目・</t>
    </r>
    <r>
      <rPr>
        <b val="true"/>
        <sz val="14"/>
        <color rgb="FF1F2A44"/>
        <rFont val="Meiryo"/>
        <family val="0"/>
        <charset val="1"/>
      </rPr>
      <t xml:space="preserve">3</t>
    </r>
    <r>
      <rPr>
        <b val="true"/>
        <sz val="14"/>
        <color rgb="FF1F2A44"/>
        <rFont val="WenQuanYi Zen Hei"/>
        <family val="2"/>
      </rPr>
      <t xml:space="preserve">年継続の総額試算）</t>
    </r>
  </si>
  <si>
    <t xml:space="preserve">青字＝入力値（書き換え可）／黒字＝数式。金額は税込・円。教材・その他＝各年に一括でかかる費用（教材購入・更新料・大会参加費など）</t>
  </si>
  <si>
    <t xml:space="preserve">計算の前提</t>
  </si>
  <si>
    <t xml:space="preserve">入会金</t>
  </si>
  <si>
    <r>
      <rPr>
        <b val="true"/>
        <sz val="10"/>
        <color rgb="FFFFFFFF"/>
        <rFont val="WenQuanYi Zen Hei"/>
        <family val="2"/>
      </rPr>
      <t xml:space="preserve">月謝
</t>
    </r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年目</t>
    </r>
  </si>
  <si>
    <r>
      <rPr>
        <b val="true"/>
        <sz val="10"/>
        <color rgb="FFFFFFFF"/>
        <rFont val="WenQuanYi Zen Hei"/>
        <family val="2"/>
      </rPr>
      <t xml:space="preserve">月謝
</t>
    </r>
    <r>
      <rPr>
        <b val="true"/>
        <sz val="10"/>
        <color rgb="FFFFFFFF"/>
        <rFont val="Meiryo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年目</t>
    </r>
  </si>
  <si>
    <r>
      <rPr>
        <b val="true"/>
        <sz val="10"/>
        <color rgb="FFFFFFFF"/>
        <rFont val="WenQuanYi Zen Hei"/>
        <family val="2"/>
      </rPr>
      <t xml:space="preserve">月謝
</t>
    </r>
    <r>
      <rPr>
        <b val="true"/>
        <sz val="10"/>
        <color rgb="FFFFFFFF"/>
        <rFont val="Meiryo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年目</t>
    </r>
  </si>
  <si>
    <t xml:space="preserve">月額
諸費用</t>
  </si>
  <si>
    <r>
      <rPr>
        <b val="true"/>
        <sz val="10"/>
        <color rgb="FFFFFFFF"/>
        <rFont val="WenQuanYi Zen Hei"/>
        <family val="2"/>
      </rPr>
      <t xml:space="preserve">教材・その他
</t>
    </r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年目</t>
    </r>
  </si>
  <si>
    <r>
      <rPr>
        <b val="true"/>
        <sz val="10"/>
        <color rgb="FFFFFFFF"/>
        <rFont val="WenQuanYi Zen Hei"/>
        <family val="2"/>
      </rPr>
      <t xml:space="preserve">教材・その他
</t>
    </r>
    <r>
      <rPr>
        <b val="true"/>
        <sz val="10"/>
        <color rgb="FFFFFFFF"/>
        <rFont val="Meiryo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年目</t>
    </r>
  </si>
  <si>
    <r>
      <rPr>
        <b val="true"/>
        <sz val="10"/>
        <color rgb="FFFFFFFF"/>
        <rFont val="WenQuanYi Zen Hei"/>
        <family val="2"/>
      </rPr>
      <t xml:space="preserve">教材・その他
</t>
    </r>
    <r>
      <rPr>
        <b val="true"/>
        <sz val="10"/>
        <color rgb="FFFFFFFF"/>
        <rFont val="Meiryo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年目</t>
    </r>
  </si>
  <si>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年目
総額</t>
    </r>
  </si>
  <si>
    <r>
      <rPr>
        <b val="true"/>
        <sz val="10"/>
        <color rgb="FFFFFFFF"/>
        <rFont val="Meiryo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年継続
総額</t>
    </r>
  </si>
  <si>
    <r>
      <rPr>
        <b val="true"/>
        <sz val="10"/>
        <color rgb="FFFFFFFF"/>
        <rFont val="WenQuanYi Zen Hei"/>
        <family val="2"/>
      </rPr>
      <t xml:space="preserve">ステモン比
</t>
    </r>
    <r>
      <rPr>
        <b val="true"/>
        <sz val="10"/>
        <color rgb="FFFFFFFF"/>
        <rFont val="Meiryo"/>
        <family val="0"/>
        <charset val="1"/>
      </rPr>
      <t xml:space="preserve">(3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</si>
  <si>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月の授業
時間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分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</si>
  <si>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時間あたり
単価</t>
    </r>
    <r>
      <rPr>
        <b val="true"/>
        <sz val="10"/>
        <color rgb="FFFFFFFF"/>
        <rFont val="Meiryo"/>
        <family val="0"/>
        <charset val="1"/>
      </rPr>
      <t xml:space="preserve">(1</t>
    </r>
    <r>
      <rPr>
        <b val="true"/>
        <sz val="10"/>
        <color rgb="FFFFFFFF"/>
        <rFont val="WenQuanYi Zen Hei"/>
        <family val="2"/>
      </rPr>
      <t xml:space="preserve">年目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</si>
  <si>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月謝レンジ（参考）</t>
  </si>
  <si>
    <t xml:space="preserve">確度</t>
  </si>
  <si>
    <r>
      <rPr>
        <sz val="10"/>
        <color rgb="FF222222"/>
        <rFont val="WenQuanYi Zen Hei"/>
        <family val="2"/>
      </rPr>
      <t xml:space="preserve">小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ベーシック→小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アドバンス→小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キッズエリート。施設管理費</t>
    </r>
    <r>
      <rPr>
        <sz val="10"/>
        <color rgb="FF222222"/>
        <rFont val="Meiryo"/>
        <family val="0"/>
        <charset val="1"/>
      </rPr>
      <t xml:space="preserve">880</t>
    </r>
    <r>
      <rPr>
        <sz val="10"/>
        <color rgb="FF222222"/>
        <rFont val="WenQuanYi Zen Hei"/>
        <family val="2"/>
      </rPr>
      <t xml:space="preserve">円</t>
    </r>
    <r>
      <rPr>
        <sz val="10"/>
        <color rgb="FF222222"/>
        <rFont val="Meiryo"/>
        <family val="0"/>
        <charset val="1"/>
      </rPr>
      <t xml:space="preserve">/</t>
    </r>
    <r>
      <rPr>
        <sz val="10"/>
        <color rgb="FF222222"/>
        <rFont val="WenQuanYi Zen Hei"/>
        <family val="2"/>
      </rPr>
      <t xml:space="preserve">月、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年目以降は年度更新料</t>
    </r>
    <r>
      <rPr>
        <sz val="10"/>
        <color rgb="FF222222"/>
        <rFont val="Meiryo"/>
        <family val="0"/>
        <charset val="1"/>
      </rPr>
      <t xml:space="preserve">2,200</t>
    </r>
    <r>
      <rPr>
        <sz val="10"/>
        <color rgb="FF222222"/>
        <rFont val="WenQuanYi Zen Hei"/>
        <family val="2"/>
      </rPr>
      <t xml:space="preserve">円＋ロボコン参加費</t>
    </r>
    <r>
      <rPr>
        <sz val="10"/>
        <color rgb="FF222222"/>
        <rFont val="Meiryo"/>
        <family val="0"/>
        <charset val="1"/>
      </rPr>
      <t xml:space="preserve">5,500</t>
    </r>
    <r>
      <rPr>
        <sz val="10"/>
        <color rgb="FF222222"/>
        <rFont val="WenQuanYi Zen Hei"/>
        <family val="2"/>
      </rPr>
      <t xml:space="preserve">円</t>
    </r>
  </si>
  <si>
    <r>
      <rPr>
        <sz val="10"/>
        <color rgb="FF222222"/>
        <rFont val="WenQuanYi Zen Hei"/>
        <family val="2"/>
      </rPr>
      <t xml:space="preserve">要確認（入会金</t>
    </r>
    <r>
      <rPr>
        <sz val="10"/>
        <color rgb="FF222222"/>
        <rFont val="Meiryo"/>
        <family val="0"/>
        <charset val="1"/>
      </rPr>
      <t xml:space="preserve">16,500/5,500</t>
    </r>
    <r>
      <rPr>
        <sz val="10"/>
        <color rgb="FF222222"/>
        <rFont val="WenQuanYi Zen Hei"/>
        <family val="2"/>
      </rPr>
      <t xml:space="preserve">円、施設費</t>
    </r>
    <r>
      <rPr>
        <sz val="10"/>
        <color rgb="FF222222"/>
        <rFont val="Meiryo"/>
        <family val="0"/>
        <charset val="1"/>
      </rPr>
      <t xml:space="preserve">880/2,200</t>
    </r>
    <r>
      <rPr>
        <sz val="10"/>
        <color rgb="FF222222"/>
        <rFont val="WenQuanYi Zen Hei"/>
        <family val="2"/>
      </rPr>
      <t xml:space="preserve">円で情報が食い違う）</t>
    </r>
  </si>
  <si>
    <r>
      <rPr>
        <sz val="10"/>
        <color rgb="FF222222"/>
        <rFont val="WenQuanYi Zen Hei"/>
        <family val="2"/>
      </rPr>
      <t xml:space="preserve">月謝は平均値</t>
    </r>
    <r>
      <rPr>
        <sz val="10"/>
        <color rgb="FF222222"/>
        <rFont val="Meiryo"/>
        <family val="0"/>
        <charset val="1"/>
      </rPr>
      <t xml:space="preserve">11,100</t>
    </r>
    <r>
      <rPr>
        <sz val="10"/>
        <color rgb="FF222222"/>
        <rFont val="WenQuanYi Zen Hei"/>
        <family val="2"/>
      </rPr>
      <t xml:space="preserve">円、教材は毎年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万円（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4.7</t>
    </r>
    <r>
      <rPr>
        <sz val="10"/>
        <color rgb="FF222222"/>
        <rFont val="WenQuanYi Zen Hei"/>
        <family val="2"/>
      </rPr>
      <t xml:space="preserve">万円の中央値）と仮定。設備費・指導関連費は除く</t>
    </r>
  </si>
  <si>
    <t xml:space="preserve">要確認（月謝は二次情報の平均値）</t>
  </si>
  <si>
    <r>
      <rPr>
        <sz val="10"/>
        <color rgb="FF222222"/>
        <rFont val="WenQuanYi Zen Hei"/>
        <family val="2"/>
      </rPr>
      <t xml:space="preserve">月謝</t>
    </r>
    <r>
      <rPr>
        <sz val="10"/>
        <color rgb="FF222222"/>
        <rFont val="Meiryo"/>
        <family val="0"/>
        <charset val="1"/>
      </rPr>
      <t xml:space="preserve">11,550</t>
    </r>
    <r>
      <rPr>
        <sz val="10"/>
        <color rgb="FF222222"/>
        <rFont val="WenQuanYi Zen Hei"/>
        <family val="2"/>
      </rPr>
      <t xml:space="preserve">円（</t>
    </r>
    <r>
      <rPr>
        <sz val="10"/>
        <color rgb="FF222222"/>
        <rFont val="Meiryo"/>
        <family val="0"/>
        <charset val="1"/>
      </rPr>
      <t xml:space="preserve">2024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11</t>
    </r>
    <r>
      <rPr>
        <sz val="10"/>
        <color rgb="FF222222"/>
        <rFont val="WenQuanYi Zen Hei"/>
        <family val="2"/>
      </rPr>
      <t xml:space="preserve">月改定後）、入会時キット</t>
    </r>
    <r>
      <rPr>
        <sz val="10"/>
        <color rgb="FF222222"/>
        <rFont val="Meiryo"/>
        <family val="0"/>
        <charset val="1"/>
      </rPr>
      <t xml:space="preserve">33,000</t>
    </r>
    <r>
      <rPr>
        <sz val="10"/>
        <color rgb="FF222222"/>
        <rFont val="WenQuanYi Zen Hei"/>
        <family val="2"/>
      </rPr>
      <t xml:space="preserve">円、進級時の追加キット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万円（仮定）</t>
    </r>
  </si>
  <si>
    <t xml:space="preserve">二次（追加キット額は要確認）</t>
  </si>
  <si>
    <r>
      <rPr>
        <sz val="10"/>
        <color rgb="FF222222"/>
        <rFont val="WenQuanYi Zen Hei"/>
        <family val="2"/>
      </rPr>
      <t xml:space="preserve">月謝は</t>
    </r>
    <r>
      <rPr>
        <sz val="10"/>
        <color rgb="FF222222"/>
        <rFont val="Meiryo"/>
        <family val="0"/>
        <charset val="1"/>
      </rPr>
      <t xml:space="preserve">9,800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15,800</t>
    </r>
    <r>
      <rPr>
        <sz val="10"/>
        <color rgb="FF222222"/>
        <rFont val="WenQuanYi Zen Hei"/>
        <family val="2"/>
      </rPr>
      <t xml:space="preserve">円の幅があるため、スタータークラス</t>
    </r>
    <r>
      <rPr>
        <sz val="10"/>
        <color rgb="FF222222"/>
        <rFont val="Meiryo"/>
        <family val="0"/>
        <charset val="1"/>
      </rPr>
      <t xml:space="preserve">12,750</t>
    </r>
    <r>
      <rPr>
        <sz val="10"/>
        <color rgb="FF222222"/>
        <rFont val="WenQuanYi Zen Hei"/>
        <family val="2"/>
      </rPr>
      <t xml:space="preserve">円で代表計算。教材は貸与（レンタル料・タブレット代は含まず）</t>
    </r>
  </si>
  <si>
    <t xml:space="preserve">要確認（出典で月謝・レンタル料の扱いが食い違う）</t>
  </si>
  <si>
    <r>
      <rPr>
        <sz val="10"/>
        <color rgb="FF222222"/>
        <rFont val="WenQuanYi Zen Hei"/>
        <family val="2"/>
      </rPr>
      <t xml:space="preserve">小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ブロンズで入会。月謝</t>
    </r>
    <r>
      <rPr>
        <sz val="10"/>
        <color rgb="FF222222"/>
        <rFont val="Meiryo"/>
        <family val="0"/>
        <charset val="1"/>
      </rPr>
      <t xml:space="preserve">17,600</t>
    </r>
    <r>
      <rPr>
        <sz val="10"/>
        <color rgb="FF222222"/>
        <rFont val="WenQuanYi Zen Hei"/>
        <family val="2"/>
      </rPr>
      <t xml:space="preserve">円＋維持費</t>
    </r>
    <r>
      <rPr>
        <sz val="10"/>
        <color rgb="FF222222"/>
        <rFont val="Meiryo"/>
        <family val="0"/>
        <charset val="1"/>
      </rPr>
      <t xml:space="preserve">1,210</t>
    </r>
    <r>
      <rPr>
        <sz val="10"/>
        <color rgb="FF222222"/>
        <rFont val="WenQuanYi Zen Hei"/>
        <family val="2"/>
      </rPr>
      <t xml:space="preserve">円、入会時教材</t>
    </r>
    <r>
      <rPr>
        <sz val="10"/>
        <color rgb="FF222222"/>
        <rFont val="Meiryo"/>
        <family val="0"/>
        <charset val="1"/>
      </rPr>
      <t xml:space="preserve">67,815</t>
    </r>
    <r>
      <rPr>
        <sz val="10"/>
        <color rgb="FF222222"/>
        <rFont val="WenQuanYi Zen Hei"/>
        <family val="2"/>
      </rPr>
      <t xml:space="preserve">円。小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の追加キット代は不明のため含まず</t>
    </r>
  </si>
  <si>
    <r>
      <rPr>
        <sz val="10"/>
        <color rgb="FF222222"/>
        <rFont val="WenQuanYi Zen Hei"/>
        <family val="2"/>
      </rPr>
      <t xml:space="preserve">要確認（別サイトは年約</t>
    </r>
    <r>
      <rPr>
        <sz val="10"/>
        <color rgb="FF222222"/>
        <rFont val="Meiryo"/>
        <family val="0"/>
        <charset val="1"/>
      </rPr>
      <t xml:space="preserve">15</t>
    </r>
    <r>
      <rPr>
        <sz val="10"/>
        <color rgb="FF222222"/>
        <rFont val="WenQuanYi Zen Hei"/>
        <family val="2"/>
      </rPr>
      <t xml:space="preserve">万円と試算しており大きく食い違う）</t>
    </r>
  </si>
  <si>
    <r>
      <rPr>
        <sz val="10"/>
        <color rgb="FF222222"/>
        <rFont val="WenQuanYi Zen Hei"/>
        <family val="2"/>
      </rPr>
      <t xml:space="preserve">入会金</t>
    </r>
    <r>
      <rPr>
        <sz val="10"/>
        <color rgb="FF222222"/>
        <rFont val="Meiryo"/>
        <family val="0"/>
        <charset val="1"/>
      </rPr>
      <t xml:space="preserve">11,000</t>
    </r>
    <r>
      <rPr>
        <sz val="10"/>
        <color rgb="FF222222"/>
        <rFont val="WenQuanYi Zen Hei"/>
        <family val="2"/>
      </rPr>
      <t xml:space="preserve">円、キット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万円（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年分）、月謝</t>
    </r>
    <r>
      <rPr>
        <sz val="10"/>
        <color rgb="FF222222"/>
        <rFont val="Meiryo"/>
        <family val="0"/>
        <charset val="1"/>
      </rPr>
      <t xml:space="preserve">11,000</t>
    </r>
    <r>
      <rPr>
        <sz val="10"/>
        <color rgb="FF222222"/>
        <rFont val="WenQuanYi Zen Hei"/>
        <family val="2"/>
      </rPr>
      <t xml:space="preserve">円。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年目エキスパート編の教材費は不明のため含まず</t>
    </r>
  </si>
  <si>
    <t xml:space="preserve">二次（教室差が大きい）</t>
  </si>
  <si>
    <r>
      <rPr>
        <sz val="10"/>
        <color rgb="FF222222"/>
        <rFont val="WenQuanYi Zen Hei"/>
        <family val="2"/>
      </rPr>
      <t xml:space="preserve">入会金・教材費</t>
    </r>
    <r>
      <rPr>
        <sz val="10"/>
        <color rgb="FF222222"/>
        <rFont val="Meiryo"/>
        <family val="0"/>
        <charset val="1"/>
      </rPr>
      <t xml:space="preserve">0</t>
    </r>
    <r>
      <rPr>
        <sz val="10"/>
        <color rgb="FF222222"/>
        <rFont val="WenQuanYi Zen Hei"/>
        <family val="2"/>
      </rPr>
      <t xml:space="preserve">円。ビギナー→スタンダード</t>
    </r>
    <r>
      <rPr>
        <sz val="10"/>
        <color rgb="FF222222"/>
        <rFont val="Meiryo"/>
        <family val="0"/>
        <charset val="1"/>
      </rPr>
      <t xml:space="preserve">II→</t>
    </r>
    <r>
      <rPr>
        <sz val="10"/>
        <color rgb="FF222222"/>
        <rFont val="WenQuanYi Zen Hei"/>
        <family val="2"/>
      </rPr>
      <t xml:space="preserve">アドバンストと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年ごとに進級</t>
    </r>
  </si>
  <si>
    <t xml:space="preserve">二次（教室で若干差）</t>
  </si>
  <si>
    <r>
      <rPr>
        <sz val="10"/>
        <color rgb="FF222222"/>
        <rFont val="WenQuanYi Zen Hei"/>
        <family val="2"/>
      </rPr>
      <t xml:space="preserve">入会金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万円、月謝</t>
    </r>
    <r>
      <rPr>
        <sz val="10"/>
        <color rgb="FF222222"/>
        <rFont val="Meiryo"/>
        <family val="0"/>
        <charset val="1"/>
      </rPr>
      <t xml:space="preserve">7,150</t>
    </r>
    <r>
      <rPr>
        <sz val="10"/>
        <color rgb="FF222222"/>
        <rFont val="WenQuanYi Zen Hei"/>
        <family val="2"/>
      </rPr>
      <t xml:space="preserve">円、教材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年目</t>
    </r>
    <r>
      <rPr>
        <sz val="10"/>
        <color rgb="FF222222"/>
        <rFont val="Meiryo"/>
        <family val="0"/>
        <charset val="1"/>
      </rPr>
      <t xml:space="preserve">20,350</t>
    </r>
    <r>
      <rPr>
        <sz val="10"/>
        <color rgb="FF222222"/>
        <rFont val="WenQuanYi Zen Hei"/>
        <family val="2"/>
      </rPr>
      <t xml:space="preserve">円・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年目</t>
    </r>
    <r>
      <rPr>
        <sz val="10"/>
        <color rgb="FF222222"/>
        <rFont val="Meiryo"/>
        <family val="0"/>
        <charset val="1"/>
      </rPr>
      <t xml:space="preserve">13,200</t>
    </r>
    <r>
      <rPr>
        <sz val="10"/>
        <color rgb="FF222222"/>
        <rFont val="WenQuanYi Zen Hei"/>
        <family val="2"/>
      </rPr>
      <t xml:space="preserve">円、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年目は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年目と同額と仮置き</t>
    </r>
  </si>
  <si>
    <r>
      <rPr>
        <sz val="10"/>
        <color rgb="FF222222"/>
        <rFont val="WenQuanYi Zen Hei"/>
        <family val="2"/>
      </rPr>
      <t xml:space="preserve">二次（教室ごと、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年目教材は仮置き）</t>
    </r>
  </si>
  <si>
    <r>
      <rPr>
        <sz val="10"/>
        <color rgb="FF222222"/>
        <rFont val="WenQuanYi Zen Hei"/>
        <family val="2"/>
      </rPr>
      <t xml:space="preserve">基本コース月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回</t>
    </r>
    <r>
      <rPr>
        <sz val="10"/>
        <color rgb="FF222222"/>
        <rFont val="Meiryo"/>
        <family val="0"/>
        <charset val="1"/>
      </rPr>
      <t xml:space="preserve">29,700</t>
    </r>
    <r>
      <rPr>
        <sz val="10"/>
        <color rgb="FF222222"/>
        <rFont val="WenQuanYi Zen Hei"/>
        <family val="2"/>
      </rPr>
      <t xml:space="preserve">円、教材費は月謝に含む。入会金</t>
    </r>
    <r>
      <rPr>
        <sz val="10"/>
        <color rgb="FF222222"/>
        <rFont val="Meiryo"/>
        <family val="0"/>
        <charset val="1"/>
      </rPr>
      <t xml:space="preserve">16,500</t>
    </r>
    <r>
      <rPr>
        <sz val="10"/>
        <color rgb="FF222222"/>
        <rFont val="WenQuanYi Zen Hei"/>
        <family val="2"/>
      </rPr>
      <t xml:space="preserve">円（二次）</t>
    </r>
  </si>
  <si>
    <t xml:space="preserve">公式（入会金は二次）</t>
  </si>
  <si>
    <r>
      <rPr>
        <sz val="10"/>
        <color rgb="FF222222"/>
        <rFont val="WenQuanYi Zen Hei"/>
        <family val="2"/>
      </rPr>
      <t xml:space="preserve">受講費</t>
    </r>
    <r>
      <rPr>
        <sz val="10"/>
        <color rgb="FF222222"/>
        <rFont val="Meiryo"/>
        <family val="0"/>
        <charset val="1"/>
      </rPr>
      <t xml:space="preserve">23,210</t>
    </r>
    <r>
      <rPr>
        <sz val="10"/>
        <color rgb="FF222222"/>
        <rFont val="WenQuanYi Zen Hei"/>
        <family val="2"/>
      </rPr>
      <t xml:space="preserve">円＋教材費</t>
    </r>
    <r>
      <rPr>
        <sz val="10"/>
        <color rgb="FF222222"/>
        <rFont val="Meiryo"/>
        <family val="0"/>
        <charset val="1"/>
      </rPr>
      <t xml:space="preserve">2,200</t>
    </r>
    <r>
      <rPr>
        <sz val="10"/>
        <color rgb="FF222222"/>
        <rFont val="WenQuanYi Zen Hei"/>
        <family val="2"/>
      </rPr>
      <t xml:space="preserve">円</t>
    </r>
    <r>
      <rPr>
        <sz val="10"/>
        <color rgb="FF222222"/>
        <rFont val="Meiryo"/>
        <family val="0"/>
        <charset val="1"/>
      </rPr>
      <t xml:space="preserve">/</t>
    </r>
    <r>
      <rPr>
        <sz val="10"/>
        <color rgb="FF222222"/>
        <rFont val="WenQuanYi Zen Hei"/>
        <family val="2"/>
      </rPr>
      <t xml:space="preserve">月、</t>
    </r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持参。新規受付停止中のため参考値</t>
    </r>
  </si>
  <si>
    <t xml:space="preserve">公式（検索抜粋）</t>
  </si>
  <si>
    <r>
      <rPr>
        <sz val="10"/>
        <color rgb="FF222222"/>
        <rFont val="WenQuanYi Zen Hei"/>
        <family val="2"/>
      </rPr>
      <t xml:space="preserve">月謝</t>
    </r>
    <r>
      <rPr>
        <sz val="10"/>
        <color rgb="FF222222"/>
        <rFont val="Meiryo"/>
        <family val="0"/>
        <charset val="1"/>
      </rPr>
      <t xml:space="preserve">9,900</t>
    </r>
    <r>
      <rPr>
        <sz val="10"/>
        <color rgb="FF222222"/>
        <rFont val="WenQuanYi Zen Hei"/>
        <family val="2"/>
      </rPr>
      <t xml:space="preserve">円（最低価格帯）、教材費</t>
    </r>
    <r>
      <rPr>
        <sz val="10"/>
        <color rgb="FF222222"/>
        <rFont val="Meiryo"/>
        <family val="0"/>
        <charset val="1"/>
      </rPr>
      <t xml:space="preserve">0</t>
    </r>
    <r>
      <rPr>
        <sz val="10"/>
        <color rgb="FF222222"/>
        <rFont val="WenQuanYi Zen Hei"/>
        <family val="2"/>
      </rPr>
      <t xml:space="preserve">円。入会金は教室ごとで不明のため</t>
    </r>
    <r>
      <rPr>
        <sz val="10"/>
        <color rgb="FF222222"/>
        <rFont val="Meiryo"/>
        <family val="0"/>
        <charset val="1"/>
      </rPr>
      <t xml:space="preserve">0</t>
    </r>
    <r>
      <rPr>
        <sz val="10"/>
        <color rgb="FF222222"/>
        <rFont val="WenQuanYi Zen Hei"/>
        <family val="2"/>
      </rPr>
      <t xml:space="preserve">円で計算（実際は上乗せ）</t>
    </r>
  </si>
  <si>
    <t xml:space="preserve">要確認（入会金不明）</t>
  </si>
  <si>
    <r>
      <rPr>
        <sz val="10"/>
        <color rgb="FF222222"/>
        <rFont val="WenQuanYi Zen Hei"/>
        <family val="2"/>
      </rPr>
      <t xml:space="preserve">みらい講座 </t>
    </r>
    <r>
      <rPr>
        <sz val="10"/>
        <color rgb="FF222222"/>
        <rFont val="Meiryo"/>
        <family val="0"/>
        <charset val="1"/>
      </rPr>
      <t xml:space="preserve">with KOOV</t>
    </r>
    <r>
      <rPr>
        <sz val="10"/>
        <color rgb="FF222222"/>
        <rFont val="WenQuanYi Zen Hei"/>
        <family val="2"/>
      </rPr>
      <t xml:space="preserve">。ステージ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は</t>
    </r>
    <r>
      <rPr>
        <sz val="10"/>
        <color rgb="FF222222"/>
        <rFont val="Meiryo"/>
        <family val="0"/>
        <charset val="1"/>
      </rPr>
      <t xml:space="preserve">6,200</t>
    </r>
    <r>
      <rPr>
        <sz val="10"/>
        <color rgb="FF222222"/>
        <rFont val="WenQuanYi Zen Hei"/>
        <family val="2"/>
      </rPr>
      <t xml:space="preserve">円</t>
    </r>
    <r>
      <rPr>
        <sz val="10"/>
        <color rgb="FF222222"/>
        <rFont val="Meiryo"/>
        <family val="0"/>
        <charset val="1"/>
      </rPr>
      <t xml:space="preserve">/</t>
    </r>
    <r>
      <rPr>
        <sz val="10"/>
        <color rgb="FF222222"/>
        <rFont val="WenQuanYi Zen Hei"/>
        <family val="2"/>
      </rPr>
      <t xml:space="preserve">月（キット代込み）、ステージ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・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は</t>
    </r>
    <r>
      <rPr>
        <sz val="10"/>
        <color rgb="FF222222"/>
        <rFont val="Meiryo"/>
        <family val="0"/>
        <charset val="1"/>
      </rPr>
      <t xml:space="preserve">6,500</t>
    </r>
    <r>
      <rPr>
        <sz val="10"/>
        <color rgb="FF222222"/>
        <rFont val="WenQuanYi Zen Hei"/>
        <family val="2"/>
      </rPr>
      <t xml:space="preserve">円と仮定</t>
    </r>
  </si>
  <si>
    <t xml:space="preserve">要確認（新旧で料金表記が異なる）</t>
  </si>
  <si>
    <r>
      <rPr>
        <sz val="10"/>
        <color rgb="FF222222"/>
        <rFont val="WenQuanYi Zen Hei"/>
        <family val="2"/>
      </rPr>
      <t xml:space="preserve">月々プラン</t>
    </r>
    <r>
      <rPr>
        <sz val="10"/>
        <color rgb="FF222222"/>
        <rFont val="Meiryo"/>
        <family val="0"/>
        <charset val="1"/>
      </rPr>
      <t xml:space="preserve">4,980</t>
    </r>
    <r>
      <rPr>
        <sz val="10"/>
        <color rgb="FF222222"/>
        <rFont val="WenQuanYi Zen Hei"/>
        <family val="2"/>
      </rPr>
      <t xml:space="preserve">円（年間一括なら</t>
    </r>
    <r>
      <rPr>
        <sz val="10"/>
        <color rgb="FF222222"/>
        <rFont val="Meiryo"/>
        <family val="0"/>
        <charset val="1"/>
      </rPr>
      <t xml:space="preserve">39,800</t>
    </r>
    <r>
      <rPr>
        <sz val="10"/>
        <color rgb="FF222222"/>
        <rFont val="WenQuanYi Zen Hei"/>
        <family val="2"/>
      </rPr>
      <t xml:space="preserve">円</t>
    </r>
    <r>
      <rPr>
        <sz val="10"/>
        <color rgb="FF222222"/>
        <rFont val="Meiryo"/>
        <family val="0"/>
        <charset val="1"/>
      </rPr>
      <t xml:space="preserve">/</t>
    </r>
    <r>
      <rPr>
        <sz val="10"/>
        <color rgb="FF222222"/>
        <rFont val="WenQuanYi Zen Hei"/>
        <family val="2"/>
      </rPr>
      <t xml:space="preserve">年）</t>
    </r>
  </si>
  <si>
    <r>
      <rPr>
        <sz val="10"/>
        <color rgb="FF222222"/>
        <rFont val="WenQuanYi Zen Hei"/>
        <family val="2"/>
      </rPr>
      <t xml:space="preserve">教室：ロボットコース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年→</t>
    </r>
    <r>
      <rPr>
        <sz val="10"/>
        <color rgb="FF222222"/>
        <rFont val="Meiryo"/>
        <family val="0"/>
        <charset val="1"/>
      </rPr>
      <t xml:space="preserve">Scratch</t>
    </r>
    <r>
      <rPr>
        <sz val="10"/>
        <color rgb="FF222222"/>
        <rFont val="WenQuanYi Zen Hei"/>
        <family val="2"/>
      </rPr>
      <t xml:space="preserve">コース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年。教材費は不明のため含まず</t>
    </r>
  </si>
  <si>
    <t xml:space="preserve">二次（教材費不明）</t>
  </si>
  <si>
    <t xml:space="preserve">注記</t>
  </si>
  <si>
    <r>
      <rPr>
        <sz val="9"/>
        <color rgb="FF555555"/>
        <rFont val="WenQuanYi Zen Hei"/>
        <family val="2"/>
      </rPr>
      <t xml:space="preserve">・</t>
    </r>
    <r>
      <rPr>
        <sz val="9"/>
        <color rgb="FF555555"/>
        <rFont val="Meiryo"/>
        <family val="0"/>
        <charset val="1"/>
      </rPr>
      <t xml:space="preserve">Tech Kids School </t>
    </r>
    <r>
      <rPr>
        <sz val="9"/>
        <color rgb="FF555555"/>
        <rFont val="WenQuanYi Zen Hei"/>
        <family val="2"/>
      </rPr>
      <t xml:space="preserve">は新規受付停止中のため参考値。</t>
    </r>
    <r>
      <rPr>
        <sz val="9"/>
        <color rgb="FF555555"/>
        <rFont val="Meiryo"/>
        <family val="0"/>
        <charset val="1"/>
      </rPr>
      <t xml:space="preserve">QUREO</t>
    </r>
    <r>
      <rPr>
        <sz val="9"/>
        <color rgb="FF555555"/>
        <rFont val="WenQuanYi Zen Hei"/>
        <family val="2"/>
      </rPr>
      <t xml:space="preserve">は入会金不明（</t>
    </r>
    <r>
      <rPr>
        <sz val="9"/>
        <color rgb="FF555555"/>
        <rFont val="Meiryo"/>
        <family val="0"/>
        <charset val="1"/>
      </rPr>
      <t xml:space="preserve">0</t>
    </r>
    <r>
      <rPr>
        <sz val="9"/>
        <color rgb="FF555555"/>
        <rFont val="WenQuanYi Zen Hei"/>
        <family val="2"/>
      </rPr>
      <t xml:space="preserve">円で計算）。ロボ団はレンタル料・タブレット代を含まない。</t>
    </r>
  </si>
  <si>
    <r>
      <rPr>
        <sz val="9"/>
        <color rgb="FF555555"/>
        <rFont val="WenQuanYi Zen Hei"/>
        <family val="2"/>
      </rPr>
      <t xml:space="preserve">・クレファスは小</t>
    </r>
    <r>
      <rPr>
        <sz val="9"/>
        <color rgb="FF555555"/>
        <rFont val="Meiryo"/>
        <family val="0"/>
        <charset val="1"/>
      </rPr>
      <t xml:space="preserve">4</t>
    </r>
    <r>
      <rPr>
        <sz val="9"/>
        <color rgb="FF555555"/>
        <rFont val="WenQuanYi Zen Hei"/>
        <family val="2"/>
      </rPr>
      <t xml:space="preserve">の追加キット、エジソンアカデミーは</t>
    </r>
    <r>
      <rPr>
        <sz val="9"/>
        <color rgb="FF555555"/>
        <rFont val="Meiryo"/>
        <family val="0"/>
        <charset val="1"/>
      </rPr>
      <t xml:space="preserve">3</t>
    </r>
    <r>
      <rPr>
        <sz val="9"/>
        <color rgb="FF555555"/>
        <rFont val="WenQuanYi Zen Hei"/>
        <family val="2"/>
      </rPr>
      <t xml:space="preserve">年目の教材費が不明のため含まない（実際はさらに高い）。</t>
    </r>
  </si>
  <si>
    <r>
      <rPr>
        <sz val="9"/>
        <color rgb="FF555555"/>
        <rFont val="WenQuanYi Zen Hei"/>
        <family val="2"/>
      </rPr>
      <t xml:space="preserve">・</t>
    </r>
    <r>
      <rPr>
        <sz val="9"/>
        <color rgb="FF555555"/>
        <rFont val="Meiryo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時間あたり単価＝（月謝＋月額諸費用）</t>
    </r>
    <r>
      <rPr>
        <sz val="9"/>
        <color rgb="FF555555"/>
        <rFont val="Meiryo"/>
        <family val="0"/>
        <charset val="1"/>
      </rPr>
      <t xml:space="preserve">÷</t>
    </r>
    <r>
      <rPr>
        <sz val="9"/>
        <color rgb="FF555555"/>
        <rFont val="WenQuanYi Zen Hei"/>
        <family val="2"/>
      </rPr>
      <t xml:space="preserve">月の授業時間。授業時間が不明・通信型は「—」。</t>
    </r>
  </si>
  <si>
    <r>
      <rPr>
        <sz val="9"/>
        <color rgb="FF555555"/>
        <rFont val="WenQuanYi Zen Hei"/>
        <family val="2"/>
      </rPr>
      <t xml:space="preserve">・オンライン・通信系（</t>
    </r>
    <r>
      <rPr>
        <sz val="9"/>
        <color rgb="FF555555"/>
        <rFont val="Meiryo"/>
        <family val="0"/>
        <charset val="1"/>
      </rPr>
      <t xml:space="preserve">Z</t>
    </r>
    <r>
      <rPr>
        <sz val="9"/>
        <color rgb="FF555555"/>
        <rFont val="WenQuanYi Zen Hei"/>
        <family val="2"/>
      </rPr>
      <t xml:space="preserve">会・デジタネ）は講師の対面指導がないため、単純な価格比較には注意。</t>
    </r>
  </si>
  <si>
    <t xml:space="preserve">レッスン内容・使用教材</t>
  </si>
  <si>
    <r>
      <rPr>
        <sz val="9"/>
        <color rgb="FF666666"/>
        <rFont val="WenQuanYi Zen Hei"/>
        <family val="2"/>
      </rPr>
      <t xml:space="preserve">クラス人数は講師</t>
    </r>
    <r>
      <rPr>
        <sz val="9"/>
        <color rgb="FF666666"/>
        <rFont val="Meiryo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人あたりの目安を含む</t>
    </r>
  </si>
  <si>
    <t xml:space="preserve">時間・回数</t>
  </si>
  <si>
    <t xml:space="preserve">クラス人数・講師比</t>
  </si>
  <si>
    <t xml:space="preserve">カリキュラム・コース構成</t>
  </si>
  <si>
    <t xml:space="preserve">大会・検定との接続</t>
  </si>
  <si>
    <t xml:space="preserve">振替</t>
  </si>
  <si>
    <t xml:space="preserve">保護者へのフィードバック</t>
  </si>
  <si>
    <t xml:space="preserve">使用教材</t>
  </si>
  <si>
    <t xml:space="preserve">購入／貸与・持ち帰り</t>
  </si>
  <si>
    <r>
      <rPr>
        <sz val="10"/>
        <color rgb="FF222222"/>
        <rFont val="WenQuanYi Zen Hei"/>
        <family val="2"/>
      </rPr>
      <t xml:space="preserve">幼児：月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回（年</t>
    </r>
    <r>
      <rPr>
        <sz val="10"/>
        <color rgb="FF222222"/>
        <rFont val="Meiryo"/>
        <family val="0"/>
        <charset val="1"/>
      </rPr>
      <t xml:space="preserve">24</t>
    </r>
    <r>
      <rPr>
        <sz val="10"/>
        <color rgb="FF222222"/>
        <rFont val="WenQuanYi Zen Hei"/>
        <family val="2"/>
      </rPr>
      <t xml:space="preserve">回）／小学生：</t>
    </r>
    <r>
      <rPr>
        <sz val="10"/>
        <color rgb="FF222222"/>
        <rFont val="Meiryo"/>
        <family val="0"/>
        <charset val="1"/>
      </rPr>
      <t xml:space="preserve">60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40</t>
    </r>
    <r>
      <rPr>
        <sz val="10"/>
        <color rgb="FF222222"/>
        <rFont val="WenQuanYi Zen Hei"/>
        <family val="2"/>
      </rPr>
      <t xml:space="preserve">回（月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回）</t>
    </r>
  </si>
  <si>
    <r>
      <rPr>
        <sz val="10"/>
        <color rgb="FF222222"/>
        <rFont val="WenQuanYi Zen Hei"/>
        <family val="2"/>
      </rPr>
      <t xml:space="preserve">定員 幼児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名・小学生</t>
    </r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WenQuanYi Zen Hei"/>
        <family val="2"/>
      </rPr>
      <t xml:space="preserve">名（講師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名）</t>
    </r>
  </si>
  <si>
    <r>
      <rPr>
        <sz val="10"/>
        <color rgb="FF222222"/>
        <rFont val="WenQuanYi Zen Hei"/>
        <family val="2"/>
      </rPr>
      <t xml:space="preserve">「しる→つくる→ためす」。手順書なしのコンストラクショニズム型。低学年はブロックで物理（てこ・歯車）＋プログラミング基礎、高学年は</t>
    </r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でゲーム制作・ロボット制御</t>
    </r>
  </si>
  <si>
    <t xml:space="preserve">小学生ロボコン公式予選「ステモンカップ」を自社主催（全国大会へ代表派遣）</t>
  </si>
  <si>
    <t xml:space="preserve">教室ごとに可否が異なる（要確認）</t>
  </si>
  <si>
    <r>
      <rPr>
        <sz val="10"/>
        <color rgb="FF222222"/>
        <rFont val="WenQuanYi Zen Hei"/>
        <family val="2"/>
      </rPr>
      <t xml:space="preserve">保護者向け</t>
    </r>
    <r>
      <rPr>
        <sz val="10"/>
        <color rgb="FF222222"/>
        <rFont val="Meiryo"/>
        <family val="0"/>
        <charset val="1"/>
      </rPr>
      <t xml:space="preserve">STEAM</t>
    </r>
    <r>
      <rPr>
        <sz val="10"/>
        <color rgb="FF222222"/>
        <rFont val="WenQuanYi Zen Hei"/>
        <family val="2"/>
      </rPr>
      <t xml:space="preserve">セミナーあり。毎回のレポート有無は要確認</t>
    </r>
  </si>
  <si>
    <r>
      <rPr>
        <sz val="10"/>
        <color rgb="FF222222"/>
        <rFont val="WenQuanYi Zen Hei"/>
        <family val="2"/>
      </rPr>
      <t xml:space="preserve">独自カリキュラム＋ブロック教材＋</t>
    </r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（製品名は要確認）</t>
    </r>
  </si>
  <si>
    <r>
      <rPr>
        <sz val="10"/>
        <color rgb="FF222222"/>
        <rFont val="WenQuanYi Zen Hei"/>
        <family val="2"/>
      </rPr>
      <t xml:space="preserve">教室で貸出（購入不要）。</t>
    </r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レンタル</t>
    </r>
    <r>
      <rPr>
        <sz val="10"/>
        <color rgb="FF222222"/>
        <rFont val="Meiryo"/>
        <family val="0"/>
        <charset val="1"/>
      </rPr>
      <t xml:space="preserve">2,200</t>
    </r>
    <r>
      <rPr>
        <sz val="10"/>
        <color rgb="FF222222"/>
        <rFont val="WenQuanYi Zen Hei"/>
        <family val="2"/>
      </rPr>
      <t xml:space="preserve">円</t>
    </r>
    <r>
      <rPr>
        <sz val="10"/>
        <color rgb="FF222222"/>
        <rFont val="Meiryo"/>
        <family val="0"/>
        <charset val="1"/>
      </rPr>
      <t xml:space="preserve">/</t>
    </r>
    <r>
      <rPr>
        <sz val="10"/>
        <color rgb="FF222222"/>
        <rFont val="WenQuanYi Zen Hei"/>
        <family val="2"/>
      </rPr>
      <t xml:space="preserve">月</t>
    </r>
  </si>
  <si>
    <r>
      <rPr>
        <sz val="10"/>
        <color rgb="FF222222"/>
        <rFont val="WenQuanYi Zen Hei"/>
        <family val="2"/>
      </rPr>
      <t xml:space="preserve">未就学児</t>
    </r>
    <r>
      <rPr>
        <sz val="10"/>
        <color rgb="FF222222"/>
        <rFont val="Meiryo"/>
        <family val="0"/>
        <charset val="1"/>
      </rPr>
      <t xml:space="preserve">50</t>
    </r>
    <r>
      <rPr>
        <sz val="10"/>
        <color rgb="FF222222"/>
        <rFont val="WenQuanYi Zen Hei"/>
        <family val="2"/>
      </rPr>
      <t xml:space="preserve">分／小学生</t>
    </r>
    <r>
      <rPr>
        <sz val="10"/>
        <color rgb="FF222222"/>
        <rFont val="Meiryo"/>
        <family val="0"/>
        <charset val="1"/>
      </rPr>
      <t xml:space="preserve">90</t>
    </r>
    <r>
      <rPr>
        <sz val="10"/>
        <color rgb="FF222222"/>
        <rFont val="WenQuanYi Zen Hei"/>
        <family val="2"/>
      </rPr>
      <t xml:space="preserve">分（月の回数は要確認）</t>
    </r>
  </si>
  <si>
    <r>
      <rPr>
        <sz val="10"/>
        <color rgb="FF222222"/>
        <rFont val="WenQuanYi Zen Hei"/>
        <family val="2"/>
      </rPr>
      <t xml:space="preserve">定員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名〜</t>
    </r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8</t>
    </r>
    <r>
      <rPr>
        <sz val="10"/>
        <color rgb="FF222222"/>
        <rFont val="WenQuanYi Zen Hei"/>
        <family val="2"/>
      </rPr>
      <t xml:space="preserve">名（教室で差、要確認）</t>
    </r>
  </si>
  <si>
    <r>
      <rPr>
        <sz val="10"/>
        <color rgb="FF222222"/>
        <rFont val="WenQuanYi Zen Hei"/>
        <family val="2"/>
      </rPr>
      <t xml:space="preserve">年齢別の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年単位コース（</t>
    </r>
    <r>
      <rPr>
        <sz val="10"/>
        <color rgb="FF222222"/>
        <rFont val="Meiryo"/>
        <family val="0"/>
        <charset val="1"/>
      </rPr>
      <t xml:space="preserve">Early Brick→Explorer→Creator→Quester→Investigator→Young Engineer…</t>
    </r>
    <r>
      <rPr>
        <sz val="10"/>
        <color rgb="FF222222"/>
        <rFont val="WenQuanYi Zen Hei"/>
        <family val="2"/>
      </rPr>
      <t xml:space="preserve">）</t>
    </r>
  </si>
  <si>
    <t xml:space="preserve">目立つ大会接続なし（要確認）</t>
  </si>
  <si>
    <t xml:space="preserve">要確認</t>
  </si>
  <si>
    <r>
      <rPr>
        <sz val="10"/>
        <color rgb="FF222222"/>
        <rFont val="Meiryo"/>
        <family val="0"/>
        <charset val="1"/>
      </rPr>
      <t xml:space="preserve">LEGO Education</t>
    </r>
    <r>
      <rPr>
        <sz val="10"/>
        <color rgb="FF222222"/>
        <rFont val="WenQuanYi Zen Hei"/>
        <family val="2"/>
      </rPr>
      <t xml:space="preserve">（既製品）</t>
    </r>
  </si>
  <si>
    <r>
      <rPr>
        <sz val="10"/>
        <color rgb="FF222222"/>
        <rFont val="WenQuanYi Zen Hei"/>
        <family val="2"/>
      </rPr>
      <t xml:space="preserve">家庭用教材を毎年購入（年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4.7</t>
    </r>
    <r>
      <rPr>
        <sz val="10"/>
        <color rgb="FF222222"/>
        <rFont val="WenQuanYi Zen Hei"/>
        <family val="2"/>
      </rPr>
      <t xml:space="preserve">万円）</t>
    </r>
  </si>
  <si>
    <r>
      <rPr>
        <sz val="10"/>
        <color rgb="FF222222"/>
        <rFont val="Meiryo"/>
        <family val="0"/>
        <charset val="1"/>
      </rPr>
      <t xml:space="preserve">90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月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回（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か月で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体のロボットを製作）</t>
    </r>
  </si>
  <si>
    <r>
      <rPr>
        <sz val="10"/>
        <color rgb="FF222222"/>
        <rFont val="WenQuanYi Zen Hei"/>
        <family val="2"/>
      </rPr>
      <t xml:space="preserve">最大</t>
    </r>
    <r>
      <rPr>
        <sz val="10"/>
        <color rgb="FF222222"/>
        <rFont val="Meiryo"/>
        <family val="0"/>
        <charset val="1"/>
      </rPr>
      <t xml:space="preserve">10</t>
    </r>
    <r>
      <rPr>
        <sz val="10"/>
        <color rgb="FF222222"/>
        <rFont val="WenQuanYi Zen Hei"/>
        <family val="2"/>
      </rPr>
      <t xml:space="preserve">名程度（要確認）</t>
    </r>
  </si>
  <si>
    <r>
      <rPr>
        <sz val="10"/>
        <color rgb="FF222222"/>
        <rFont val="WenQuanYi Zen Hei"/>
        <family val="2"/>
      </rPr>
      <t xml:space="preserve">プレプライマリー→プライマリー→ベーシック→ミドル→アドバンス→研究コース。標準キットを最長</t>
    </r>
    <r>
      <rPr>
        <sz val="10"/>
        <color rgb="FF222222"/>
        <rFont val="Meiryo"/>
        <family val="0"/>
        <charset val="1"/>
      </rPr>
      <t xml:space="preserve">8</t>
    </r>
    <r>
      <rPr>
        <sz val="10"/>
        <color rgb="FF222222"/>
        <rFont val="WenQuanYi Zen Hei"/>
        <family val="2"/>
      </rPr>
      <t xml:space="preserve">年使用</t>
    </r>
  </si>
  <si>
    <t xml:space="preserve">ロボット教室全国大会（アイデアコンテスト等）</t>
  </si>
  <si>
    <t xml:space="preserve">可（条件は教室次第）</t>
  </si>
  <si>
    <t xml:space="preserve">授業の最後の発表（体系的な報告は要確認）</t>
  </si>
  <si>
    <t xml:space="preserve">独自ロボットキット（高橋智隆氏監修）</t>
  </si>
  <si>
    <t xml:space="preserve">購入制・持ち帰り可</t>
  </si>
  <si>
    <r>
      <rPr>
        <sz val="10"/>
        <color rgb="FF222222"/>
        <rFont val="WenQuanYi Zen Hei"/>
        <family val="2"/>
      </rPr>
      <t xml:space="preserve">年長</t>
    </r>
    <r>
      <rPr>
        <sz val="10"/>
        <color rgb="FF222222"/>
        <rFont val="Meiryo"/>
        <family val="0"/>
        <charset val="1"/>
      </rPr>
      <t xml:space="preserve">50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月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回／小学生</t>
    </r>
    <r>
      <rPr>
        <sz val="10"/>
        <color rgb="FF222222"/>
        <rFont val="Meiryo"/>
        <family val="0"/>
        <charset val="1"/>
      </rPr>
      <t xml:space="preserve">90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120</t>
    </r>
    <r>
      <rPr>
        <sz val="10"/>
        <color rgb="FF222222"/>
        <rFont val="WenQuanYi Zen Hei"/>
        <family val="2"/>
      </rPr>
      <t xml:space="preserve">分程度</t>
    </r>
  </si>
  <si>
    <r>
      <rPr>
        <sz val="10"/>
        <color rgb="FF222222"/>
        <rFont val="WenQuanYi Zen Hei"/>
        <family val="2"/>
      </rPr>
      <t xml:space="preserve">メイン講師＋サポート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名体制</t>
    </r>
  </si>
  <si>
    <r>
      <rPr>
        <sz val="10"/>
        <color rgb="FF222222"/>
        <rFont val="Meiryo"/>
        <family val="0"/>
        <charset val="1"/>
      </rPr>
      <t xml:space="preserve">KINDER/WONDER→BEGINNER→CHALLENGER→CREATOR→INNOVATOR</t>
    </r>
    <r>
      <rPr>
        <sz val="10"/>
        <color rgb="FF222222"/>
        <rFont val="WenQuanYi Zen Hei"/>
        <family val="2"/>
      </rPr>
      <t xml:space="preserve">。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人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組のペア学習＋毎回の発表</t>
    </r>
  </si>
  <si>
    <r>
      <rPr>
        <sz val="10"/>
        <color rgb="FF222222"/>
        <rFont val="WenQuanYi Zen Hei"/>
        <family val="2"/>
      </rPr>
      <t xml:space="preserve">社内大会ダンリーグ／ダンカップ、</t>
    </r>
    <r>
      <rPr>
        <sz val="10"/>
        <color rgb="FF222222"/>
        <rFont val="Meiryo"/>
        <family val="0"/>
        <charset val="1"/>
      </rPr>
      <t xml:space="preserve">WRO</t>
    </r>
    <r>
      <rPr>
        <sz val="10"/>
        <color rgb="FF222222"/>
        <rFont val="WenQuanYi Zen Hei"/>
        <family val="2"/>
      </rPr>
      <t xml:space="preserve">等の世界大会実績（要確認）</t>
    </r>
  </si>
  <si>
    <t xml:space="preserve">振替・補講あり</t>
  </si>
  <si>
    <t xml:space="preserve">独自アプリで学習状況を保護者も確認、授業見学いつでも可</t>
  </si>
  <si>
    <r>
      <rPr>
        <sz val="10"/>
        <color rgb="FF222222"/>
        <rFont val="Meiryo"/>
        <family val="0"/>
        <charset val="1"/>
      </rPr>
      <t xml:space="preserve">LEGO Education SPIKE Prime</t>
    </r>
    <r>
      <rPr>
        <sz val="10"/>
        <color rgb="FF222222"/>
        <rFont val="WenQuanYi Zen Hei"/>
        <family val="2"/>
      </rPr>
      <t xml:space="preserve">＋独自テキスト</t>
    </r>
  </si>
  <si>
    <t xml:space="preserve">教室で貸与（持ち帰り不可）、家庭用タブレットが必要な場合あり</t>
  </si>
  <si>
    <r>
      <rPr>
        <sz val="10"/>
        <color rgb="FF222222"/>
        <rFont val="Meiryo"/>
        <family val="0"/>
        <charset val="1"/>
      </rPr>
      <t xml:space="preserve">Kicks 50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40</t>
    </r>
    <r>
      <rPr>
        <sz val="10"/>
        <color rgb="FF222222"/>
        <rFont val="WenQuanYi Zen Hei"/>
        <family val="2"/>
      </rPr>
      <t xml:space="preserve">回／本科 </t>
    </r>
    <r>
      <rPr>
        <sz val="10"/>
        <color rgb="FF222222"/>
        <rFont val="Meiryo"/>
        <family val="0"/>
        <charset val="1"/>
      </rPr>
      <t xml:space="preserve">90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42</t>
    </r>
    <r>
      <rPr>
        <sz val="10"/>
        <color rgb="FF222222"/>
        <rFont val="WenQuanYi Zen Hei"/>
        <family val="2"/>
      </rPr>
      <t xml:space="preserve">回</t>
    </r>
  </si>
  <si>
    <r>
      <rPr>
        <sz val="10"/>
        <color rgb="FF222222"/>
        <rFont val="WenQuanYi Zen Hei"/>
        <family val="2"/>
      </rPr>
      <t xml:space="preserve">学年別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年単位のテーマ（ブロンズ：レスキュー・相撲ロボ等）。理科・算数・社会と連動</t>
    </r>
  </si>
  <si>
    <r>
      <rPr>
        <sz val="10"/>
        <color rgb="FF222222"/>
        <rFont val="Meiryo"/>
        <family val="0"/>
        <charset val="1"/>
      </rPr>
      <t xml:space="preserve">FLL</t>
    </r>
    <r>
      <rPr>
        <sz val="10"/>
        <color rgb="FF222222"/>
        <rFont val="WenQuanYi Zen Hei"/>
        <family val="2"/>
      </rPr>
      <t xml:space="preserve">認定プラチナスクール。</t>
    </r>
    <r>
      <rPr>
        <sz val="10"/>
        <color rgb="FF222222"/>
        <rFont val="Meiryo"/>
        <family val="0"/>
        <charset val="1"/>
      </rPr>
      <t xml:space="preserve">2026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5</t>
    </r>
    <r>
      <rPr>
        <sz val="10"/>
        <color rgb="FF222222"/>
        <rFont val="WenQuanYi Zen Hei"/>
        <family val="2"/>
      </rPr>
      <t xml:space="preserve">月の</t>
    </r>
    <r>
      <rPr>
        <sz val="10"/>
        <color rgb="FF222222"/>
        <rFont val="Meiryo"/>
        <family val="0"/>
        <charset val="1"/>
      </rPr>
      <t xml:space="preserve">FLL</t>
    </r>
    <r>
      <rPr>
        <sz val="10"/>
        <color rgb="FF222222"/>
        <rFont val="WenQuanYi Zen Hei"/>
        <family val="2"/>
      </rPr>
      <t xml:space="preserve">世界大会（ギリシャ）に日本代表として出場。</t>
    </r>
    <r>
      <rPr>
        <sz val="10"/>
        <color rgb="FF222222"/>
        <rFont val="Meiryo"/>
        <family val="0"/>
        <charset val="1"/>
      </rPr>
      <t xml:space="preserve">WRO</t>
    </r>
    <r>
      <rPr>
        <sz val="10"/>
        <color rgb="FF222222"/>
        <rFont val="WenQuanYi Zen Hei"/>
        <family val="2"/>
      </rPr>
      <t xml:space="preserve">にも参加</t>
    </r>
  </si>
  <si>
    <r>
      <rPr>
        <sz val="10"/>
        <color rgb="FF222222"/>
        <rFont val="Meiryo"/>
        <family val="0"/>
        <charset val="1"/>
      </rPr>
      <t xml:space="preserve">LEGO</t>
    </r>
    <r>
      <rPr>
        <sz val="10"/>
        <color rgb="FF222222"/>
        <rFont val="WenQuanYi Zen Hei"/>
        <family val="2"/>
      </rPr>
      <t xml:space="preserve">ベース（</t>
    </r>
    <r>
      <rPr>
        <sz val="10"/>
        <color rgb="FF222222"/>
        <rFont val="Meiryo"/>
        <family val="0"/>
        <charset val="1"/>
      </rPr>
      <t xml:space="preserve">LEGO Education/</t>
    </r>
    <r>
      <rPr>
        <sz val="10"/>
        <color rgb="FF222222"/>
        <rFont val="WenQuanYi Zen Hei"/>
        <family val="2"/>
      </rPr>
      <t xml:space="preserve">マインドストーム系）＋独自テキスト</t>
    </r>
  </si>
  <si>
    <r>
      <rPr>
        <sz val="10"/>
        <color rgb="FF222222"/>
        <rFont val="WenQuanYi Zen Hei"/>
        <family val="2"/>
      </rPr>
      <t xml:space="preserve">購入制（年長・小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・小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・小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の節目で買い足し）</t>
    </r>
  </si>
  <si>
    <r>
      <rPr>
        <sz val="10"/>
        <color rgb="FF222222"/>
        <rFont val="Meiryo"/>
        <family val="0"/>
        <charset val="1"/>
      </rPr>
      <t xml:space="preserve">90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月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回（教室により</t>
    </r>
    <r>
      <rPr>
        <sz val="10"/>
        <color rgb="FF222222"/>
        <rFont val="Meiryo"/>
        <family val="0"/>
        <charset val="1"/>
      </rPr>
      <t xml:space="preserve">60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×3</t>
    </r>
    <r>
      <rPr>
        <sz val="10"/>
        <color rgb="FF222222"/>
        <rFont val="WenQuanYi Zen Hei"/>
        <family val="2"/>
      </rPr>
      <t xml:space="preserve">回も）</t>
    </r>
  </si>
  <si>
    <r>
      <rPr>
        <sz val="10"/>
        <color rgb="FF222222"/>
        <rFont val="WenQuanYi Zen Hei"/>
        <family val="2"/>
      </rPr>
      <t xml:space="preserve">講師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人に生徒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5</t>
    </r>
    <r>
      <rPr>
        <sz val="10"/>
        <color rgb="FF222222"/>
        <rFont val="WenQuanYi Zen Hei"/>
        <family val="2"/>
      </rPr>
      <t xml:space="preserve">人</t>
    </r>
  </si>
  <si>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年制（毎月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体ロボット製作）＋任意の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年目エキスパート編。学年別コースなし</t>
    </r>
  </si>
  <si>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回程度のロボット大会（詳細は要確認）</t>
    </r>
  </si>
  <si>
    <t xml:space="preserve">教室ごと</t>
  </si>
  <si>
    <r>
      <rPr>
        <sz val="10"/>
        <color rgb="FF222222"/>
        <rFont val="WenQuanYi Zen Hei"/>
        <family val="2"/>
      </rPr>
      <t xml:space="preserve">自社製アーテックロボ／</t>
    </r>
    <r>
      <rPr>
        <sz val="10"/>
        <color rgb="FF222222"/>
        <rFont val="Meiryo"/>
        <family val="0"/>
        <charset val="1"/>
      </rPr>
      <t xml:space="preserve">Studuino</t>
    </r>
    <r>
      <rPr>
        <sz val="10"/>
        <color rgb="FF222222"/>
        <rFont val="WenQuanYi Zen Hei"/>
        <family val="2"/>
      </rPr>
      <t xml:space="preserve">（</t>
    </r>
    <r>
      <rPr>
        <sz val="10"/>
        <color rgb="FF222222"/>
        <rFont val="Meiryo"/>
        <family val="0"/>
        <charset val="1"/>
      </rPr>
      <t xml:space="preserve">Scratch</t>
    </r>
    <r>
      <rPr>
        <sz val="10"/>
        <color rgb="FF222222"/>
        <rFont val="WenQuanYi Zen Hei"/>
        <family val="2"/>
      </rPr>
      <t xml:space="preserve">ベース）</t>
    </r>
  </si>
  <si>
    <t xml:space="preserve">買い取り制・持ち帰り可</t>
  </si>
  <si>
    <r>
      <rPr>
        <sz val="10"/>
        <color rgb="FF222222"/>
        <rFont val="Meiryo"/>
        <family val="0"/>
        <charset val="1"/>
      </rPr>
      <t xml:space="preserve">50</t>
    </r>
    <r>
      <rPr>
        <sz val="10"/>
        <color rgb="FF222222"/>
        <rFont val="WenQuanYi Zen Hei"/>
        <family val="2"/>
      </rPr>
      <t xml:space="preserve">分または</t>
    </r>
    <r>
      <rPr>
        <sz val="10"/>
        <color rgb="FF222222"/>
        <rFont val="Meiryo"/>
        <family val="0"/>
        <charset val="1"/>
      </rPr>
      <t xml:space="preserve">90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月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回</t>
    </r>
  </si>
  <si>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クラス約</t>
    </r>
    <r>
      <rPr>
        <sz val="10"/>
        <color rgb="FF222222"/>
        <rFont val="Meiryo"/>
        <family val="0"/>
        <charset val="1"/>
      </rPr>
      <t xml:space="preserve">10</t>
    </r>
    <r>
      <rPr>
        <sz val="10"/>
        <color rgb="FF222222"/>
        <rFont val="WenQuanYi Zen Hei"/>
        <family val="2"/>
      </rPr>
      <t xml:space="preserve">名に講師約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名</t>
    </r>
  </si>
  <si>
    <t xml:space="preserve">ビギナー→スタンダード→アドバンスト→エクスプローラー。最後に発表、宿題なし</t>
  </si>
  <si>
    <r>
      <rPr>
        <sz val="10"/>
        <color rgb="FF222222"/>
        <rFont val="WenQuanYi Zen Hei"/>
        <family val="2"/>
      </rPr>
      <t xml:space="preserve">校内「プログラボカップ」、</t>
    </r>
    <r>
      <rPr>
        <sz val="10"/>
        <color rgb="FF222222"/>
        <rFont val="Meiryo"/>
        <family val="0"/>
        <charset val="1"/>
      </rPr>
      <t xml:space="preserve">WRO</t>
    </r>
    <r>
      <rPr>
        <sz val="10"/>
        <color rgb="FF222222"/>
        <rFont val="WenQuanYi Zen Hei"/>
        <family val="2"/>
      </rPr>
      <t xml:space="preserve">出場を全体でサポート</t>
    </r>
  </si>
  <si>
    <t xml:space="preserve">あり（同一週内）</t>
  </si>
  <si>
    <t xml:space="preserve">見学可（成長レポート等は要確認）</t>
  </si>
  <si>
    <r>
      <rPr>
        <sz val="10"/>
        <color rgb="FF222222"/>
        <rFont val="Meiryo"/>
        <family val="0"/>
        <charset val="1"/>
      </rPr>
      <t xml:space="preserve">LEGO Education SPIKE Prime</t>
    </r>
    <r>
      <rPr>
        <sz val="10"/>
        <color rgb="FF222222"/>
        <rFont val="WenQuanYi Zen Hei"/>
        <family val="2"/>
      </rPr>
      <t xml:space="preserve">／</t>
    </r>
    <r>
      <rPr>
        <sz val="10"/>
        <color rgb="FF222222"/>
        <rFont val="Meiryo"/>
        <family val="0"/>
        <charset val="1"/>
      </rPr>
      <t xml:space="preserve">EV3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micro:bit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Scratch</t>
    </r>
  </si>
  <si>
    <t xml:space="preserve">教室で貸与（持ち帰り不可）</t>
  </si>
  <si>
    <r>
      <rPr>
        <sz val="10"/>
        <color rgb="FF222222"/>
        <rFont val="Meiryo"/>
        <family val="0"/>
        <charset val="1"/>
      </rPr>
      <t xml:space="preserve">90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月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回（年</t>
    </r>
    <r>
      <rPr>
        <sz val="10"/>
        <color rgb="FF222222"/>
        <rFont val="Meiryo"/>
        <family val="0"/>
        <charset val="1"/>
      </rPr>
      <t xml:space="preserve">24</t>
    </r>
    <r>
      <rPr>
        <sz val="10"/>
        <color rgb="FF222222"/>
        <rFont val="WenQuanYi Zen Hei"/>
        <family val="2"/>
      </rPr>
      <t xml:space="preserve">回）</t>
    </r>
  </si>
  <si>
    <r>
      <rPr>
        <sz val="10"/>
        <color rgb="FF222222"/>
        <rFont val="WenQuanYi Zen Hei"/>
        <family val="2"/>
      </rPr>
      <t xml:space="preserve">ロボットプログラミングコース（</t>
    </r>
    <r>
      <rPr>
        <sz val="10"/>
        <color rgb="FF222222"/>
        <rFont val="Meiryo"/>
        <family val="0"/>
        <charset val="1"/>
      </rPr>
      <t xml:space="preserve">IchigoJam</t>
    </r>
    <r>
      <rPr>
        <sz val="10"/>
        <color rgb="FF222222"/>
        <rFont val="WenQuanYi Zen Hei"/>
        <family val="2"/>
      </rPr>
      <t xml:space="preserve">で</t>
    </r>
    <r>
      <rPr>
        <sz val="10"/>
        <color rgb="FF222222"/>
        <rFont val="Meiryo"/>
        <family val="0"/>
        <charset val="1"/>
      </rPr>
      <t xml:space="preserve">BASIC</t>
    </r>
    <r>
      <rPr>
        <sz val="10"/>
        <color rgb="FF222222"/>
        <rFont val="WenQuanYi Zen Hei"/>
        <family val="2"/>
      </rPr>
      <t xml:space="preserve">のテキスト入力）／メカニックコース（タミヤ工作キット）</t>
    </r>
  </si>
  <si>
    <t xml:space="preserve">自由製作コンテスト（春・秋）、カムロボダンスコンテスト</t>
  </si>
  <si>
    <r>
      <rPr>
        <sz val="10"/>
        <color rgb="FF222222"/>
        <rFont val="WenQuanYi Zen Hei"/>
        <family val="2"/>
      </rPr>
      <t xml:space="preserve">タミヤ工作キット＋</t>
    </r>
    <r>
      <rPr>
        <sz val="10"/>
        <color rgb="FF222222"/>
        <rFont val="Meiryo"/>
        <family val="0"/>
        <charset val="1"/>
      </rPr>
      <t xml:space="preserve">IchigoJam</t>
    </r>
    <r>
      <rPr>
        <sz val="10"/>
        <color rgb="FF222222"/>
        <rFont val="WenQuanYi Zen Hei"/>
        <family val="2"/>
      </rPr>
      <t xml:space="preserve">（既製品）</t>
    </r>
  </si>
  <si>
    <r>
      <rPr>
        <sz val="10"/>
        <color rgb="FF222222"/>
        <rFont val="Meiryo"/>
        <family val="0"/>
        <charset val="1"/>
      </rPr>
      <t xml:space="preserve">90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月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回〜</t>
    </r>
  </si>
  <si>
    <r>
      <rPr>
        <sz val="10"/>
        <color rgb="FF222222"/>
        <rFont val="WenQuanYi Zen Hei"/>
        <family val="2"/>
      </rPr>
      <t xml:space="preserve">スタッフ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人に子ども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人</t>
    </r>
  </si>
  <si>
    <r>
      <rPr>
        <sz val="10"/>
        <color rgb="FF222222"/>
        <rFont val="WenQuanYi Zen Hei"/>
        <family val="2"/>
      </rPr>
      <t xml:space="preserve">ゲーム</t>
    </r>
    <r>
      <rPr>
        <sz val="10"/>
        <color rgb="FF222222"/>
        <rFont val="Meiryo"/>
        <family val="0"/>
        <charset val="1"/>
      </rPr>
      <t xml:space="preserve">&amp;</t>
    </r>
    <r>
      <rPr>
        <sz val="10"/>
        <color rgb="FF222222"/>
        <rFont val="WenQuanYi Zen Hei"/>
        <family val="2"/>
      </rPr>
      <t xml:space="preserve">アプリ、ロボット、デジタルファブリケーション、</t>
    </r>
    <r>
      <rPr>
        <sz val="10"/>
        <color rgb="FF222222"/>
        <rFont val="Meiryo"/>
        <family val="0"/>
        <charset val="1"/>
      </rPr>
      <t xml:space="preserve">3DCG</t>
    </r>
    <r>
      <rPr>
        <sz val="10"/>
        <color rgb="FF222222"/>
        <rFont val="WenQuanYi Zen Hei"/>
        <family val="2"/>
      </rPr>
      <t xml:space="preserve">、マイクラ等。個別指導計画で進行</t>
    </r>
  </si>
  <si>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回の発表会（ワンダーメイクフェス）</t>
    </r>
  </si>
  <si>
    <r>
      <rPr>
        <sz val="10"/>
        <color rgb="FF222222"/>
        <rFont val="WenQuanYi Zen Hei"/>
        <family val="2"/>
      </rPr>
      <t xml:space="preserve">あり（教室は当日</t>
    </r>
    <r>
      <rPr>
        <sz val="10"/>
        <color rgb="FF222222"/>
        <rFont val="Meiryo"/>
        <family val="0"/>
        <charset val="1"/>
      </rPr>
      <t xml:space="preserve">8:59</t>
    </r>
    <r>
      <rPr>
        <sz val="10"/>
        <color rgb="FF222222"/>
        <rFont val="WenQuanYi Zen Hei"/>
        <family val="2"/>
      </rPr>
      <t xml:space="preserve">まで連絡）</t>
    </r>
  </si>
  <si>
    <t xml:space="preserve">保護者フィードバック・個別指導計画あり</t>
  </si>
  <si>
    <r>
      <rPr>
        <sz val="10"/>
        <color rgb="FF222222"/>
        <rFont val="Meiryo"/>
        <family val="0"/>
        <charset val="1"/>
      </rPr>
      <t xml:space="preserve">Scratch</t>
    </r>
    <r>
      <rPr>
        <sz val="10"/>
        <color rgb="FF222222"/>
        <rFont val="WenQuanYi Zen Hei"/>
        <family val="2"/>
      </rPr>
      <t xml:space="preserve">／</t>
    </r>
    <r>
      <rPr>
        <sz val="10"/>
        <color rgb="FF222222"/>
        <rFont val="Meiryo"/>
        <family val="0"/>
        <charset val="1"/>
      </rPr>
      <t xml:space="preserve">Viscuit→HTML/JS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LEGO SPIKE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3D</t>
    </r>
    <r>
      <rPr>
        <sz val="10"/>
        <color rgb="FF222222"/>
        <rFont val="WenQuanYi Zen Hei"/>
        <family val="2"/>
      </rPr>
      <t xml:space="preserve">プリンタ・レーザーカッター</t>
    </r>
  </si>
  <si>
    <t xml:space="preserve">教室備品（月謝込み）</t>
  </si>
  <si>
    <r>
      <rPr>
        <sz val="10"/>
        <color rgb="FF222222"/>
        <rFont val="Meiryo"/>
        <family val="0"/>
        <charset val="1"/>
      </rPr>
      <t xml:space="preserve">120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月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回</t>
    </r>
  </si>
  <si>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WenQuanYi Zen Hei"/>
        <family val="2"/>
      </rPr>
      <t xml:space="preserve">人のグループにメンター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名</t>
    </r>
  </si>
  <si>
    <r>
      <rPr>
        <sz val="10"/>
        <color rgb="FF222222"/>
        <rFont val="Meiryo"/>
        <family val="0"/>
        <charset val="1"/>
      </rPr>
      <t xml:space="preserve">QUREO</t>
    </r>
    <r>
      <rPr>
        <sz val="10"/>
        <color rgb="FF222222"/>
        <rFont val="WenQuanYi Zen Hei"/>
        <family val="2"/>
      </rPr>
      <t xml:space="preserve">で基礎→</t>
    </r>
    <r>
      <rPr>
        <sz val="10"/>
        <color rgb="FF222222"/>
        <rFont val="Meiryo"/>
        <family val="0"/>
        <charset val="1"/>
      </rPr>
      <t xml:space="preserve">Scratch/Swift/Unity</t>
    </r>
    <r>
      <rPr>
        <sz val="10"/>
        <color rgb="FF222222"/>
        <rFont val="WenQuanYi Zen Hei"/>
        <family val="2"/>
      </rPr>
      <t xml:space="preserve">でアプリ・ゲーム開発</t>
    </r>
  </si>
  <si>
    <r>
      <rPr>
        <sz val="10"/>
        <color rgb="FF222222"/>
        <rFont val="WenQuanYi Zen Hei"/>
        <family val="2"/>
      </rPr>
      <t xml:space="preserve">自社主催 </t>
    </r>
    <r>
      <rPr>
        <sz val="10"/>
        <color rgb="FF222222"/>
        <rFont val="Meiryo"/>
        <family val="0"/>
        <charset val="1"/>
      </rPr>
      <t xml:space="preserve">Tech Kids Grand Prix</t>
    </r>
    <r>
      <rPr>
        <sz val="10"/>
        <color rgb="FF222222"/>
        <rFont val="WenQuanYi Zen Hei"/>
        <family val="2"/>
      </rPr>
      <t xml:space="preserve">（賞金総額</t>
    </r>
    <r>
      <rPr>
        <sz val="10"/>
        <color rgb="FF222222"/>
        <rFont val="Meiryo"/>
        <family val="0"/>
        <charset val="1"/>
      </rPr>
      <t xml:space="preserve">100</t>
    </r>
    <r>
      <rPr>
        <sz val="10"/>
        <color rgb="FF222222"/>
        <rFont val="WenQuanYi Zen Hei"/>
        <family val="2"/>
      </rPr>
      <t xml:space="preserve">万円）</t>
    </r>
  </si>
  <si>
    <t xml:space="preserve">あり</t>
  </si>
  <si>
    <r>
      <rPr>
        <sz val="10"/>
        <color rgb="FF222222"/>
        <rFont val="WenQuanYi Zen Hei"/>
        <family val="2"/>
      </rPr>
      <t xml:space="preserve">半年に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度の成果発表会</t>
    </r>
  </si>
  <si>
    <r>
      <rPr>
        <sz val="10"/>
        <color rgb="FF222222"/>
        <rFont val="Meiryo"/>
        <family val="0"/>
        <charset val="1"/>
      </rPr>
      <t xml:space="preserve">QUREO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Scratch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Swift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Unity</t>
    </r>
  </si>
  <si>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持参 </t>
    </r>
    <r>
      <rPr>
        <sz val="10"/>
        <color rgb="FF222222"/>
        <rFont val="Meiryo"/>
        <family val="0"/>
        <charset val="1"/>
      </rPr>
      <t xml:space="preserve">or </t>
    </r>
    <r>
      <rPr>
        <sz val="10"/>
        <color rgb="FF222222"/>
        <rFont val="WenQuanYi Zen Hei"/>
        <family val="2"/>
      </rPr>
      <t xml:space="preserve">レンタル</t>
    </r>
  </si>
  <si>
    <r>
      <rPr>
        <sz val="10"/>
        <color rgb="FF222222"/>
        <rFont val="Meiryo"/>
        <family val="0"/>
        <charset val="1"/>
      </rPr>
      <t xml:space="preserve">60</t>
    </r>
    <r>
      <rPr>
        <sz val="10"/>
        <color rgb="FF222222"/>
        <rFont val="WenQuanYi Zen Hei"/>
        <family val="2"/>
      </rPr>
      <t xml:space="preserve">分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月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回（教室ごと）</t>
    </r>
  </si>
  <si>
    <t xml:space="preserve">教室ごと（要確認）</t>
  </si>
  <si>
    <r>
      <rPr>
        <sz val="10"/>
        <color rgb="FF222222"/>
        <rFont val="WenQuanYi Zen Hei"/>
        <family val="2"/>
      </rPr>
      <t xml:space="preserve">自学自習型のオンライン教材。ビジュアル→テキストプログラミング、マイクラコース。</t>
    </r>
    <r>
      <rPr>
        <sz val="10"/>
        <color rgb="FF222222"/>
        <rFont val="Meiryo"/>
        <family val="0"/>
        <charset val="1"/>
      </rPr>
      <t xml:space="preserve">200</t>
    </r>
    <r>
      <rPr>
        <sz val="10"/>
        <color rgb="FF222222"/>
        <rFont val="WenQuanYi Zen Hei"/>
        <family val="2"/>
      </rPr>
      <t xml:space="preserve">以上のレッスン</t>
    </r>
  </si>
  <si>
    <t xml:space="preserve">プログラミング能力検定に準拠</t>
  </si>
  <si>
    <t xml:space="preserve">自宅からオンライン振替可</t>
  </si>
  <si>
    <t xml:space="preserve">保護者専用ページで進捗を可視化</t>
  </si>
  <si>
    <r>
      <rPr>
        <sz val="10"/>
        <color rgb="FF222222"/>
        <rFont val="WenQuanYi Zen Hei"/>
        <family val="2"/>
      </rPr>
      <t xml:space="preserve">独自オンライン教材</t>
    </r>
    <r>
      <rPr>
        <sz val="10"/>
        <color rgb="FF222222"/>
        <rFont val="Meiryo"/>
        <family val="0"/>
        <charset val="1"/>
      </rPr>
      <t xml:space="preserve">QUREO</t>
    </r>
    <r>
      <rPr>
        <sz val="10"/>
        <color rgb="FF222222"/>
        <rFont val="WenQuanYi Zen Hei"/>
        <family val="2"/>
      </rPr>
      <t xml:space="preserve">＋教育版マインクラフト</t>
    </r>
  </si>
  <si>
    <r>
      <rPr>
        <sz val="10"/>
        <color rgb="FF222222"/>
        <rFont val="WenQuanYi Zen Hei"/>
        <family val="2"/>
      </rPr>
      <t xml:space="preserve">アカウント型（</t>
    </r>
    <r>
      <rPr>
        <sz val="10"/>
        <color rgb="FF222222"/>
        <rFont val="Meiryo"/>
        <family val="0"/>
        <charset val="1"/>
      </rPr>
      <t xml:space="preserve">PC</t>
    </r>
    <r>
      <rPr>
        <sz val="10"/>
        <color rgb="FF222222"/>
        <rFont val="WenQuanYi Zen Hei"/>
        <family val="2"/>
      </rPr>
      <t xml:space="preserve">等は教室備品が多い）</t>
    </r>
  </si>
  <si>
    <r>
      <rPr>
        <sz val="10"/>
        <color rgb="FF222222"/>
        <rFont val="WenQuanYi Zen Hei"/>
        <family val="2"/>
      </rPr>
      <t xml:space="preserve">月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回分の教材（学習時間は家庭任せ）</t>
    </r>
  </si>
  <si>
    <t xml:space="preserve">なし（自宅学習）</t>
  </si>
  <si>
    <r>
      <rPr>
        <sz val="10"/>
        <color rgb="FF222222"/>
        <rFont val="Meiryo"/>
        <family val="0"/>
        <charset val="1"/>
      </rPr>
      <t xml:space="preserve">KOOV</t>
    </r>
    <r>
      <rPr>
        <sz val="10"/>
        <color rgb="FF222222"/>
        <rFont val="WenQuanYi Zen Hei"/>
        <family val="2"/>
      </rPr>
      <t xml:space="preserve">で組立→プログラミング、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年でスタンダード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3</t>
    </r>
  </si>
  <si>
    <t xml:space="preserve">特になし（要確認）</t>
  </si>
  <si>
    <t xml:space="preserve">概念なし</t>
  </si>
  <si>
    <t xml:space="preserve">毎月の保護者向けガイド</t>
  </si>
  <si>
    <r>
      <rPr>
        <sz val="10"/>
        <color rgb="FF222222"/>
        <rFont val="Meiryo"/>
        <family val="0"/>
        <charset val="1"/>
      </rPr>
      <t xml:space="preserve">KOOV</t>
    </r>
    <r>
      <rPr>
        <sz val="10"/>
        <color rgb="FF222222"/>
        <rFont val="WenQuanYi Zen Hei"/>
        <family val="2"/>
      </rPr>
      <t xml:space="preserve">アドバンスキット（ソニー）、</t>
    </r>
    <r>
      <rPr>
        <sz val="10"/>
        <color rgb="FF222222"/>
        <rFont val="Meiryo"/>
        <family val="0"/>
        <charset val="1"/>
      </rPr>
      <t xml:space="preserve">Scratch</t>
    </r>
  </si>
  <si>
    <t xml:space="preserve">キット所有</t>
  </si>
  <si>
    <r>
      <rPr>
        <sz val="10"/>
        <color rgb="FF222222"/>
        <rFont val="WenQuanYi Zen Hei"/>
        <family val="2"/>
      </rPr>
      <t xml:space="preserve">受け放題（</t>
    </r>
    <r>
      <rPr>
        <sz val="10"/>
        <color rgb="FF222222"/>
        <rFont val="Meiryo"/>
        <family val="0"/>
        <charset val="1"/>
      </rPr>
      <t xml:space="preserve">8</t>
    </r>
    <r>
      <rPr>
        <sz val="10"/>
        <color rgb="FF222222"/>
        <rFont val="WenQuanYi Zen Hei"/>
        <family val="2"/>
      </rPr>
      <t xml:space="preserve">コース・</t>
    </r>
    <r>
      <rPr>
        <sz val="10"/>
        <color rgb="FF222222"/>
        <rFont val="Meiryo"/>
        <family val="0"/>
        <charset val="1"/>
      </rPr>
      <t xml:space="preserve">190</t>
    </r>
    <r>
      <rPr>
        <sz val="10"/>
        <color rgb="FF222222"/>
        <rFont val="WenQuanYi Zen Hei"/>
        <family val="2"/>
      </rPr>
      <t xml:space="preserve">以上のミッション）</t>
    </r>
  </si>
  <si>
    <t xml:space="preserve">なし（動画学習＋ライブ配信）</t>
  </si>
  <si>
    <r>
      <rPr>
        <sz val="10"/>
        <color rgb="FF222222"/>
        <rFont val="WenQuanYi Zen Hei"/>
        <family val="2"/>
      </rPr>
      <t xml:space="preserve">マインクラフト</t>
    </r>
    <r>
      <rPr>
        <sz val="10"/>
        <color rgb="FF222222"/>
        <rFont val="Meiryo"/>
        <family val="0"/>
        <charset val="1"/>
      </rPr>
      <t xml:space="preserve">×Scratch</t>
    </r>
    <r>
      <rPr>
        <sz val="10"/>
        <color rgb="FF222222"/>
        <rFont val="WenQuanYi Zen Hei"/>
        <family val="2"/>
      </rPr>
      <t xml:space="preserve">系、</t>
    </r>
    <r>
      <rPr>
        <sz val="10"/>
        <color rgb="FF222222"/>
        <rFont val="Meiryo"/>
        <family val="0"/>
        <charset val="1"/>
      </rPr>
      <t xml:space="preserve">Roblox</t>
    </r>
    <r>
      <rPr>
        <sz val="10"/>
        <color rgb="FF222222"/>
        <rFont val="WenQuanYi Zen Hei"/>
        <family val="2"/>
      </rPr>
      <t xml:space="preserve">、ディズニー題材等</t>
    </r>
  </si>
  <si>
    <r>
      <rPr>
        <sz val="10"/>
        <color rgb="FF222222"/>
        <rFont val="WenQuanYi Zen Hei"/>
        <family val="2"/>
      </rPr>
      <t xml:space="preserve">自社動画教材、</t>
    </r>
    <r>
      <rPr>
        <sz val="10"/>
        <color rgb="FF222222"/>
        <rFont val="Meiryo"/>
        <family val="0"/>
        <charset val="1"/>
      </rPr>
      <t xml:space="preserve">Minecraft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Roblox</t>
    </r>
  </si>
  <si>
    <r>
      <rPr>
        <sz val="10"/>
        <color rgb="FF222222"/>
        <rFont val="WenQuanYi Zen Hei"/>
        <family val="2"/>
      </rPr>
      <t xml:space="preserve">—（</t>
    </r>
    <r>
      <rPr>
        <sz val="10"/>
        <color rgb="FF222222"/>
        <rFont val="Meiryo"/>
        <family val="0"/>
        <charset val="1"/>
      </rPr>
      <t xml:space="preserve">Minecraft Java</t>
    </r>
    <r>
      <rPr>
        <sz val="10"/>
        <color rgb="FF222222"/>
        <rFont val="WenQuanYi Zen Hei"/>
        <family val="2"/>
      </rPr>
      <t xml:space="preserve">版は別途購入）</t>
    </r>
  </si>
  <si>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回</t>
    </r>
    <r>
      <rPr>
        <sz val="10"/>
        <color rgb="FF222222"/>
        <rFont val="Meiryo"/>
        <family val="0"/>
        <charset val="1"/>
      </rPr>
      <t xml:space="preserve">90</t>
    </r>
    <r>
      <rPr>
        <sz val="10"/>
        <color rgb="FF222222"/>
        <rFont val="WenQuanYi Zen Hei"/>
        <family val="2"/>
      </rPr>
      <t xml:space="preserve">分（月の回数は要確認）</t>
    </r>
  </si>
  <si>
    <r>
      <rPr>
        <sz val="10"/>
        <color rgb="FF222222"/>
        <rFont val="WenQuanYi Zen Hei"/>
        <family val="2"/>
      </rPr>
      <t xml:space="preserve">オンラインは</t>
    </r>
    <r>
      <rPr>
        <sz val="10"/>
        <color rgb="FF222222"/>
        <rFont val="Meiryo"/>
        <family val="0"/>
        <charset val="1"/>
      </rPr>
      <t xml:space="preserve">5</t>
    </r>
    <r>
      <rPr>
        <sz val="10"/>
        <color rgb="FF222222"/>
        <rFont val="WenQuanYi Zen Hei"/>
        <family val="2"/>
      </rPr>
      <t xml:space="preserve">名程度（教室は要確認）</t>
    </r>
  </si>
  <si>
    <r>
      <rPr>
        <sz val="10"/>
        <color rgb="FF222222"/>
        <rFont val="Meiryo"/>
        <family val="0"/>
        <charset val="1"/>
      </rPr>
      <t xml:space="preserve">ScratchJr→Scratch→</t>
    </r>
    <r>
      <rPr>
        <sz val="10"/>
        <color rgb="FF222222"/>
        <rFont val="WenQuanYi Zen Hei"/>
        <family val="2"/>
      </rPr>
      <t xml:space="preserve">ロボット（</t>
    </r>
    <r>
      <rPr>
        <sz val="10"/>
        <color rgb="FF222222"/>
        <rFont val="Meiryo"/>
        <family val="0"/>
        <charset val="1"/>
      </rPr>
      <t xml:space="preserve">toio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Sphero</t>
    </r>
    <r>
      <rPr>
        <sz val="10"/>
        <color rgb="FF222222"/>
        <rFont val="WenQuanYi Zen Hei"/>
        <family val="2"/>
      </rPr>
      <t xml:space="preserve">）→</t>
    </r>
    <r>
      <rPr>
        <sz val="10"/>
        <color rgb="FF222222"/>
        <rFont val="Meiryo"/>
        <family val="0"/>
        <charset val="1"/>
      </rPr>
      <t xml:space="preserve">Unity</t>
    </r>
  </si>
  <si>
    <t xml:space="preserve">ジュニア・プログラミング検定対応（要確認）</t>
  </si>
  <si>
    <t xml:space="preserve">オンラインは課題へのフィードバックあり</t>
  </si>
  <si>
    <r>
      <rPr>
        <sz val="10"/>
        <color rgb="FF222222"/>
        <rFont val="Meiryo"/>
        <family val="0"/>
        <charset val="1"/>
      </rPr>
      <t xml:space="preserve">ScratchJr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Scratch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toio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Sphero Mini</t>
    </r>
    <r>
      <rPr>
        <sz val="10"/>
        <color rgb="FF222222"/>
        <rFont val="WenQuanYi Zen Hei"/>
        <family val="2"/>
      </rPr>
      <t xml:space="preserve">、</t>
    </r>
    <r>
      <rPr>
        <sz val="10"/>
        <color rgb="FF222222"/>
        <rFont val="Meiryo"/>
        <family val="0"/>
        <charset val="1"/>
      </rPr>
      <t xml:space="preserve">Unity</t>
    </r>
  </si>
  <si>
    <t xml:space="preserve">先生の質（募集要項・口コミ）</t>
  </si>
  <si>
    <r>
      <rPr>
        <sz val="9"/>
        <color rgb="FF666666"/>
        <rFont val="WenQuanYi Zen Hei"/>
        <family val="2"/>
      </rPr>
      <t xml:space="preserve">時給は求人サイトの掲載例。</t>
    </r>
    <r>
      <rPr>
        <sz val="9"/>
        <color rgb="FF666666"/>
        <rFont val="Meiryo"/>
        <family val="0"/>
        <charset val="1"/>
      </rPr>
      <t xml:space="preserve">FC</t>
    </r>
    <r>
      <rPr>
        <sz val="9"/>
        <color rgb="FF666666"/>
        <rFont val="WenQuanYi Zen Hei"/>
        <family val="2"/>
      </rPr>
      <t xml:space="preserve">中心のブランドは加盟事業者ごとに条件が異なる</t>
    </r>
  </si>
  <si>
    <t xml:space="preserve">雇用形態</t>
  </si>
  <si>
    <t xml:space="preserve">時給・給与</t>
  </si>
  <si>
    <t xml:space="preserve">応募条件</t>
  </si>
  <si>
    <t xml:space="preserve">研修制度</t>
  </si>
  <si>
    <r>
      <rPr>
        <b val="true"/>
        <sz val="10"/>
        <color rgb="FFFFFFFF"/>
        <rFont val="WenQuanYi Zen Hei"/>
        <family val="2"/>
      </rPr>
      <t xml:space="preserve">講師</t>
    </r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人あたり生徒数</t>
    </r>
  </si>
  <si>
    <t xml:space="preserve">口コミ傾向（良い点／不満点）</t>
  </si>
  <si>
    <t xml:space="preserve">パート・アルバイト（正社員の教室運営職も募集）</t>
  </si>
  <si>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コマ</t>
    </r>
    <r>
      <rPr>
        <sz val="10"/>
        <color rgb="FF222222"/>
        <rFont val="Meiryo"/>
        <family val="0"/>
        <charset val="1"/>
      </rPr>
      <t xml:space="preserve">2,000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2,700</t>
    </r>
    <r>
      <rPr>
        <sz val="10"/>
        <color rgb="FF222222"/>
        <rFont val="WenQuanYi Zen Hei"/>
        <family val="2"/>
      </rPr>
      <t xml:space="preserve">円（時給換算 約</t>
    </r>
    <r>
      <rPr>
        <sz val="10"/>
        <color rgb="FF222222"/>
        <rFont val="Meiryo"/>
        <family val="0"/>
        <charset val="1"/>
      </rPr>
      <t xml:space="preserve">1,330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1,800</t>
    </r>
    <r>
      <rPr>
        <sz val="10"/>
        <color rgb="FF222222"/>
        <rFont val="WenQuanYi Zen Hei"/>
        <family val="2"/>
      </rPr>
      <t xml:space="preserve">円）／研修時給</t>
    </r>
    <r>
      <rPr>
        <sz val="10"/>
        <color rgb="FF222222"/>
        <rFont val="Meiryo"/>
        <family val="0"/>
        <charset val="1"/>
      </rPr>
      <t xml:space="preserve">1,170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1,240</t>
    </r>
    <r>
      <rPr>
        <sz val="10"/>
        <color rgb="FF222222"/>
        <rFont val="WenQuanYi Zen Hei"/>
        <family val="2"/>
      </rPr>
      <t xml:space="preserve">円</t>
    </r>
  </si>
  <si>
    <r>
      <rPr>
        <sz val="10"/>
        <color rgb="FF222222"/>
        <rFont val="WenQuanYi Zen Hei"/>
        <family val="2"/>
      </rPr>
      <t xml:space="preserve">未経験可・週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日〜</t>
    </r>
  </si>
  <si>
    <r>
      <rPr>
        <sz val="10"/>
        <color rgb="FF222222"/>
        <rFont val="WenQuanYi Zen Hei"/>
        <family val="2"/>
      </rPr>
      <t xml:space="preserve">座学＋実地研修 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か月、マニュアルあり</t>
    </r>
  </si>
  <si>
    <r>
      <rPr>
        <sz val="10"/>
        <color rgb="FF222222"/>
        <rFont val="Meiryo"/>
        <family val="0"/>
        <charset val="1"/>
      </rPr>
      <t xml:space="preserve">1:4</t>
    </r>
    <r>
      <rPr>
        <sz val="10"/>
        <color rgb="FF222222"/>
        <rFont val="WenQuanYi Zen Hei"/>
        <family val="2"/>
      </rPr>
      <t xml:space="preserve">（幼児）／</t>
    </r>
    <r>
      <rPr>
        <sz val="10"/>
        <color rgb="FF222222"/>
        <rFont val="Meiryo"/>
        <family val="0"/>
        <charset val="1"/>
      </rPr>
      <t xml:space="preserve">1:6</t>
    </r>
    <r>
      <rPr>
        <sz val="10"/>
        <color rgb="FF222222"/>
        <rFont val="WenQuanYi Zen Hei"/>
        <family val="2"/>
      </rPr>
      <t xml:space="preserve">（小学生）</t>
    </r>
  </si>
  <si>
    <t xml:space="preserve">子どもが楽しく通える、思考力の伸びを実感／個別に見てもらえる時間が少ない</t>
  </si>
  <si>
    <t xml:space="preserve">アルバイト・パート</t>
  </si>
  <si>
    <r>
      <rPr>
        <sz val="10"/>
        <color rgb="FF222222"/>
        <rFont val="WenQuanYi Zen Hei"/>
        <family val="2"/>
      </rPr>
      <t xml:space="preserve">時給</t>
    </r>
    <r>
      <rPr>
        <sz val="10"/>
        <color rgb="FF222222"/>
        <rFont val="Meiryo"/>
        <family val="0"/>
        <charset val="1"/>
      </rPr>
      <t xml:space="preserve">1,200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1,600</t>
    </r>
    <r>
      <rPr>
        <sz val="10"/>
        <color rgb="FF222222"/>
        <rFont val="WenQuanYi Zen Hei"/>
        <family val="2"/>
      </rPr>
      <t xml:space="preserve">円（研修</t>
    </r>
    <r>
      <rPr>
        <sz val="10"/>
        <color rgb="FF222222"/>
        <rFont val="Meiryo"/>
        <family val="0"/>
        <charset val="1"/>
      </rPr>
      <t xml:space="preserve">1,120</t>
    </r>
    <r>
      <rPr>
        <sz val="10"/>
        <color rgb="FF222222"/>
        <rFont val="WenQuanYi Zen Hei"/>
        <family val="2"/>
      </rPr>
      <t xml:space="preserve">円の例）</t>
    </r>
  </si>
  <si>
    <t xml:space="preserve">未経験可・学歴不問</t>
  </si>
  <si>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8</t>
    </r>
    <r>
      <rPr>
        <sz val="10"/>
        <color rgb="FF222222"/>
        <rFont val="WenQuanYi Zen Hei"/>
        <family val="2"/>
      </rPr>
      <t xml:space="preserve">名程度（推定）</t>
    </r>
  </si>
  <si>
    <t xml:space="preserve">質の高いプログラム／運営会社で品質差の懸念</t>
  </si>
  <si>
    <t xml:space="preserve">業務委託講師</t>
  </si>
  <si>
    <r>
      <rPr>
        <sz val="10"/>
        <color rgb="FF222222"/>
        <rFont val="WenQuanYi Zen Hei"/>
        <family val="2"/>
      </rPr>
      <t xml:space="preserve">時給</t>
    </r>
    <r>
      <rPr>
        <sz val="10"/>
        <color rgb="FF222222"/>
        <rFont val="Meiryo"/>
        <family val="0"/>
        <charset val="1"/>
      </rPr>
      <t xml:space="preserve">1,320</t>
    </r>
    <r>
      <rPr>
        <sz val="10"/>
        <color rgb="FF222222"/>
        <rFont val="WenQuanYi Zen Hei"/>
        <family val="2"/>
      </rPr>
      <t xml:space="preserve">円〜</t>
    </r>
  </si>
  <si>
    <r>
      <rPr>
        <sz val="10"/>
        <color rgb="FF222222"/>
        <rFont val="WenQuanYi Zen Hei"/>
        <family val="2"/>
      </rPr>
      <t xml:space="preserve">未経験可・大学生</t>
    </r>
    <r>
      <rPr>
        <sz val="10"/>
        <color rgb="FF222222"/>
        <rFont val="Meiryo"/>
        <family val="0"/>
        <charset val="1"/>
      </rPr>
      <t xml:space="preserve">/</t>
    </r>
    <r>
      <rPr>
        <sz val="10"/>
        <color rgb="FF222222"/>
        <rFont val="WenQuanYi Zen Hei"/>
        <family val="2"/>
      </rPr>
      <t xml:space="preserve">社会人の</t>
    </r>
    <r>
      <rPr>
        <sz val="10"/>
        <color rgb="FF222222"/>
        <rFont val="Meiryo"/>
        <family val="0"/>
        <charset val="1"/>
      </rPr>
      <t xml:space="preserve">W</t>
    </r>
    <r>
      <rPr>
        <sz val="10"/>
        <color rgb="FF222222"/>
        <rFont val="WenQuanYi Zen Hei"/>
        <family val="2"/>
      </rPr>
      <t xml:space="preserve">ワーク歓迎</t>
    </r>
  </si>
  <si>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本部の研修・マニュアル（オーナー向け）</t>
    </r>
  </si>
  <si>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10</t>
    </r>
    <r>
      <rPr>
        <sz val="10"/>
        <color rgb="FF222222"/>
        <rFont val="WenQuanYi Zen Hei"/>
        <family val="2"/>
      </rPr>
      <t xml:space="preserve">名（推定）</t>
    </r>
  </si>
  <si>
    <t xml:space="preserve">ヒントを出して考えさせる／講師の対応が教室によってばらつく</t>
  </si>
  <si>
    <t xml:space="preserve">アルバイト（サポート講師）</t>
  </si>
  <si>
    <t xml:space="preserve">プログラミング知識不要・学生歓迎</t>
  </si>
  <si>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名体制（クラス人数は要確認）</t>
    </r>
  </si>
  <si>
    <t xml:space="preserve">明るく探究心を刺激／グループ授業で個々の理解度が見えにくい</t>
  </si>
  <si>
    <t xml:space="preserve">アルバイト講師</t>
  </si>
  <si>
    <r>
      <rPr>
        <sz val="10"/>
        <color rgb="FF222222"/>
        <rFont val="WenQuanYi Zen Hei"/>
        <family val="2"/>
      </rPr>
      <t xml:space="preserve">時給</t>
    </r>
    <r>
      <rPr>
        <sz val="10"/>
        <color rgb="FF222222"/>
        <rFont val="Meiryo"/>
        <family val="0"/>
        <charset val="1"/>
      </rPr>
      <t xml:space="preserve">2,000</t>
    </r>
    <r>
      <rPr>
        <sz val="10"/>
        <color rgb="FF222222"/>
        <rFont val="WenQuanYi Zen Hei"/>
        <family val="2"/>
      </rPr>
      <t xml:space="preserve">円以上</t>
    </r>
  </si>
  <si>
    <t xml:space="preserve">文系・理系不問</t>
  </si>
  <si>
    <t xml:space="preserve">研修制度あり、指導力に応じて上位クラスを担当</t>
  </si>
  <si>
    <t xml:space="preserve">ハキハキして気持ちがよい／講師がプログラミングに詳しくない場合も</t>
  </si>
  <si>
    <t xml:space="preserve">加盟教室ごとに採用</t>
  </si>
  <si>
    <t xml:space="preserve">加盟時の本部研修（詳細は要確認）</t>
  </si>
  <si>
    <r>
      <rPr>
        <sz val="10"/>
        <color rgb="FF222222"/>
        <rFont val="Meiryo"/>
        <family val="0"/>
        <charset val="1"/>
      </rPr>
      <t xml:space="preserve">1:4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5</t>
    </r>
  </si>
  <si>
    <t xml:space="preserve">少人数でしっかり見てもらえる／塾スタッフが兼任し教室差が出やすい</t>
  </si>
  <si>
    <t xml:space="preserve">アルバイト（学生歓迎）</t>
  </si>
  <si>
    <r>
      <rPr>
        <sz val="10"/>
        <color rgb="FF222222"/>
        <rFont val="WenQuanYi Zen Hei"/>
        <family val="2"/>
      </rPr>
      <t xml:space="preserve">時給</t>
    </r>
    <r>
      <rPr>
        <sz val="10"/>
        <color rgb="FF222222"/>
        <rFont val="Meiryo"/>
        <family val="0"/>
        <charset val="1"/>
      </rPr>
      <t xml:space="preserve">1,100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2,000</t>
    </r>
    <r>
      <rPr>
        <sz val="10"/>
        <color rgb="FF222222"/>
        <rFont val="WenQuanYi Zen Hei"/>
        <family val="2"/>
      </rPr>
      <t xml:space="preserve">円、研修時給</t>
    </r>
    <r>
      <rPr>
        <sz val="10"/>
        <color rgb="FF222222"/>
        <rFont val="Meiryo"/>
        <family val="0"/>
        <charset val="1"/>
      </rPr>
      <t xml:space="preserve">1,200</t>
    </r>
    <r>
      <rPr>
        <sz val="10"/>
        <color rgb="FF222222"/>
        <rFont val="WenQuanYi Zen Hei"/>
        <family val="2"/>
      </rPr>
      <t xml:space="preserve">円〜</t>
    </r>
  </si>
  <si>
    <r>
      <rPr>
        <sz val="10"/>
        <color rgb="FF222222"/>
        <rFont val="WenQuanYi Zen Hei"/>
        <family val="2"/>
      </rPr>
      <t xml:space="preserve">未経験・学生歓迎、週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日〜</t>
    </r>
  </si>
  <si>
    <r>
      <rPr>
        <sz val="10"/>
        <color rgb="FF222222"/>
        <rFont val="WenQuanYi Zen Hei"/>
        <family val="2"/>
      </rPr>
      <t xml:space="preserve">研修期間 最大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か月</t>
    </r>
  </si>
  <si>
    <r>
      <rPr>
        <sz val="10"/>
        <color rgb="FF222222"/>
        <rFont val="Meiryo"/>
        <family val="0"/>
        <charset val="1"/>
      </rPr>
      <t xml:space="preserve">1:3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4</t>
    </r>
  </si>
  <si>
    <t xml:space="preserve">優しく熱心／学生講師でばらつき（すぐ正解を教える等）</t>
  </si>
  <si>
    <t xml:space="preserve">加盟事業者ごとに採用</t>
  </si>
  <si>
    <t xml:space="preserve">口コミ件数自体が少ない</t>
  </si>
  <si>
    <t xml:space="preserve">正社員中心＋研修済みアルバイト</t>
  </si>
  <si>
    <r>
      <rPr>
        <sz val="10"/>
        <color rgb="FF222222"/>
        <rFont val="WenQuanYi Zen Hei"/>
        <family val="2"/>
      </rPr>
      <t xml:space="preserve">アルバイト時給</t>
    </r>
    <r>
      <rPr>
        <sz val="10"/>
        <color rgb="FF222222"/>
        <rFont val="Meiryo"/>
        <family val="0"/>
        <charset val="1"/>
      </rPr>
      <t xml:space="preserve">1,230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1,500</t>
    </r>
    <r>
      <rPr>
        <sz val="10"/>
        <color rgb="FF222222"/>
        <rFont val="WenQuanYi Zen Hei"/>
        <family val="2"/>
      </rPr>
      <t xml:space="preserve">円</t>
    </r>
  </si>
  <si>
    <t xml:space="preserve">資格・経験不問</t>
  </si>
  <si>
    <r>
      <rPr>
        <sz val="10"/>
        <color rgb="FF222222"/>
        <rFont val="WenQuanYi Zen Hei"/>
        <family val="2"/>
      </rPr>
      <t xml:space="preserve">先輩社員との</t>
    </r>
    <r>
      <rPr>
        <sz val="10"/>
        <color rgb="FF222222"/>
        <rFont val="Meiryo"/>
        <family val="0"/>
        <charset val="1"/>
      </rPr>
      <t xml:space="preserve">1on1</t>
    </r>
    <r>
      <rPr>
        <sz val="10"/>
        <color rgb="FF222222"/>
        <rFont val="WenQuanYi Zen Hei"/>
        <family val="2"/>
      </rPr>
      <t xml:space="preserve">・教室会議（体系的研修の詳細は要確認）</t>
    </r>
  </si>
  <si>
    <r>
      <rPr>
        <sz val="10"/>
        <color rgb="FF222222"/>
        <rFont val="Meiryo"/>
        <family val="0"/>
        <charset val="1"/>
      </rPr>
      <t xml:space="preserve">1:1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4</t>
    </r>
  </si>
  <si>
    <t xml:space="preserve">先生の質が高い、発達特性のある子も楽しく通える／担当の先生が毎回変わる</t>
  </si>
  <si>
    <t xml:space="preserve">学生スタッフ（大学生・院生メンター）</t>
  </si>
  <si>
    <t xml:space="preserve">資格・経験不要</t>
  </si>
  <si>
    <t xml:space="preserve">選考・研修を経て認定（二次）</t>
  </si>
  <si>
    <r>
      <rPr>
        <sz val="10"/>
        <color rgb="FF222222"/>
        <rFont val="Meiryo"/>
        <family val="0"/>
        <charset val="1"/>
      </rPr>
      <t xml:space="preserve">1:3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6</t>
    </r>
  </si>
  <si>
    <t xml:space="preserve">大学生メンターで話しやすい／すぐ答えを教えない方針がもどかしい</t>
  </si>
  <si>
    <t xml:space="preserve">加盟塾の講師</t>
  </si>
  <si>
    <r>
      <rPr>
        <sz val="10"/>
        <color rgb="FF222222"/>
        <rFont val="WenQuanYi Zen Hei"/>
        <family val="2"/>
      </rPr>
      <t xml:space="preserve">時給</t>
    </r>
    <r>
      <rPr>
        <sz val="10"/>
        <color rgb="FF222222"/>
        <rFont val="Meiryo"/>
        <family val="0"/>
        <charset val="1"/>
      </rPr>
      <t xml:space="preserve">1,300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1,680</t>
    </r>
    <r>
      <rPr>
        <sz val="10"/>
        <color rgb="FF222222"/>
        <rFont val="WenQuanYi Zen Hei"/>
        <family val="2"/>
      </rPr>
      <t xml:space="preserve">円程度（求人例）</t>
    </r>
  </si>
  <si>
    <t xml:space="preserve">未経験可</t>
  </si>
  <si>
    <t xml:space="preserve">本部研修の内容は要確認</t>
  </si>
  <si>
    <t xml:space="preserve">すぐ質問できる／教室で先生の質がまちまち、自習を見守るだけ</t>
  </si>
  <si>
    <t xml:space="preserve">講師なし</t>
  </si>
  <si>
    <t xml:space="preserve">伴走者がいない</t>
  </si>
  <si>
    <t xml:space="preserve">—（チャットで質問）</t>
  </si>
  <si>
    <t xml:space="preserve">チャットの応答が丁寧／即時に解決しにくい</t>
  </si>
  <si>
    <t xml:space="preserve">アルバイト</t>
  </si>
  <si>
    <r>
      <rPr>
        <sz val="10"/>
        <color rgb="FF222222"/>
        <rFont val="WenQuanYi Zen Hei"/>
        <family val="2"/>
      </rPr>
      <t xml:space="preserve">時給</t>
    </r>
    <r>
      <rPr>
        <sz val="10"/>
        <color rgb="FF222222"/>
        <rFont val="Meiryo"/>
        <family val="0"/>
        <charset val="1"/>
      </rPr>
      <t xml:space="preserve">1,200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1,500</t>
    </r>
    <r>
      <rPr>
        <sz val="10"/>
        <color rgb="FF222222"/>
        <rFont val="WenQuanYi Zen Hei"/>
        <family val="2"/>
      </rPr>
      <t xml:space="preserve">円以上</t>
    </r>
  </si>
  <si>
    <t xml:space="preserve">研修あり</t>
  </si>
  <si>
    <t xml:space="preserve">優しく丁寧／講師によって指導レベルに差</t>
  </si>
  <si>
    <t xml:space="preserve">口コミ傾向・考えられる課題・ステモンの攻めどころ</t>
  </si>
  <si>
    <t xml:space="preserve">口コミはコエテコ・塾ナビ・オリコン・ブログ等の傾向を要約</t>
  </si>
  <si>
    <t xml:space="preserve">褒められている点</t>
  </si>
  <si>
    <t xml:space="preserve">不満が多い点</t>
  </si>
  <si>
    <t xml:space="preserve">考えられる課題（弱み）</t>
  </si>
  <si>
    <t xml:space="preserve">ステモンが攻められるポイント</t>
  </si>
  <si>
    <t xml:space="preserve">料金が他より高め、個別指導が少ない、地方に教室が少ない、教室で振替ルールが違う</t>
  </si>
  <si>
    <r>
      <rPr>
        <sz val="10"/>
        <color rgb="FF222222"/>
        <rFont val="WenQuanYi Zen Hei"/>
        <family val="2"/>
      </rPr>
      <t xml:space="preserve">月謝が高い、教材を毎年購入する必要があり割高感、体験が有料、「</t>
    </r>
    <r>
      <rPr>
        <sz val="10"/>
        <color rgb="FF222222"/>
        <rFont val="Meiryo"/>
        <family val="0"/>
        <charset val="1"/>
      </rPr>
      <t xml:space="preserve">LEGO</t>
    </r>
    <r>
      <rPr>
        <sz val="10"/>
        <color rgb="FF222222"/>
        <rFont val="WenQuanYi Zen Hei"/>
        <family val="2"/>
      </rPr>
      <t xml:space="preserve">」ブランド喪失による混乱</t>
    </r>
  </si>
  <si>
    <t xml:space="preserve">ブランド一貫性と独自カリキュラム、教材購入不要＝総額の分かりやすさ、小学校高学年まで続く一貫性を訴求</t>
  </si>
  <si>
    <r>
      <rPr>
        <sz val="10"/>
        <color rgb="FF222222"/>
        <rFont val="WenQuanYi Zen Hei"/>
        <family val="2"/>
      </rPr>
      <t xml:space="preserve">初期費用・月謝が高い、講師の質が教室でばらつく、組み立て中心でプログラミングが少ない、月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回では物足りない</t>
    </r>
  </si>
  <si>
    <t xml:space="preserve">講師研修と品質の均一さ、「自分で考えて作る」探究型、月あたりの授業回数・時間の多さで比較訴求</t>
  </si>
  <si>
    <t xml:space="preserve">月謝が高め、作品を持ち帰れない、隠れ費用（タブレット・施設費）、個々の理解度が見えにくい</t>
  </si>
  <si>
    <r>
      <rPr>
        <sz val="10"/>
        <color rgb="FF222222"/>
        <rFont val="WenQuanYi Zen Hei"/>
        <family val="2"/>
      </rPr>
      <t xml:space="preserve">作品の持ち帰り・保護者向けの成長の見える化、総額の透明性、工作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ロボット</t>
    </r>
    <r>
      <rPr>
        <sz val="10"/>
        <color rgb="FF222222"/>
        <rFont val="Meiryo"/>
        <family val="0"/>
        <charset val="1"/>
      </rPr>
      <t xml:space="preserve">×</t>
    </r>
    <r>
      <rPr>
        <sz val="10"/>
        <color rgb="FF222222"/>
        <rFont val="WenQuanYi Zen Hei"/>
        <family val="2"/>
      </rPr>
      <t xml:space="preserve">プログラミングの幅の広さ</t>
    </r>
  </si>
  <si>
    <t xml:space="preserve">費用が高い（月謝＋教材の買い足し）、節目で教材を買い直す、少人数教室では大会に出られない</t>
  </si>
  <si>
    <r>
      <rPr>
        <sz val="10"/>
        <color rgb="FF222222"/>
        <rFont val="WenQuanYi Zen Hei"/>
        <family val="2"/>
      </rPr>
      <t xml:space="preserve">コスパ（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年総額）での比較、「大会志向ではない子」「ものづくり好き」の受け皿。※講師採用では時給</t>
    </r>
    <r>
      <rPr>
        <sz val="10"/>
        <color rgb="FF222222"/>
        <rFont val="Meiryo"/>
        <family val="0"/>
        <charset val="1"/>
      </rPr>
      <t xml:space="preserve">2,000</t>
    </r>
    <r>
      <rPr>
        <sz val="10"/>
        <color rgb="FF222222"/>
        <rFont val="WenQuanYi Zen Hei"/>
        <family val="2"/>
      </rPr>
      <t xml:space="preserve">円超で強い競合</t>
    </r>
  </si>
  <si>
    <r>
      <rPr>
        <sz val="10"/>
        <color rgb="FF222222"/>
        <rFont val="WenQuanYi Zen Hei"/>
        <family val="2"/>
      </rPr>
      <t xml:space="preserve">キット代（約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万円）、開講日時が少ない教室も、料金が</t>
    </r>
    <r>
      <rPr>
        <sz val="10"/>
        <color rgb="FF222222"/>
        <rFont val="Meiryo"/>
        <family val="0"/>
        <charset val="1"/>
      </rPr>
      <t xml:space="preserve">HP</t>
    </r>
    <r>
      <rPr>
        <sz val="10"/>
        <color rgb="FF222222"/>
        <rFont val="WenQuanYi Zen Hei"/>
        <family val="2"/>
      </rPr>
      <t xml:space="preserve">になく分かりにくい</t>
    </r>
  </si>
  <si>
    <r>
      <rPr>
        <sz val="10"/>
        <color rgb="FF222222"/>
        <rFont val="WenQuanYi Zen Hei"/>
        <family val="2"/>
      </rPr>
      <t xml:space="preserve">年中〜低学年からの一貫性、長期継続カリキュラム、講師品質、総額の透明性、素材・工作まで扱う</t>
    </r>
    <r>
      <rPr>
        <sz val="10"/>
        <color rgb="FF222222"/>
        <rFont val="Meiryo"/>
        <family val="0"/>
        <charset val="1"/>
      </rPr>
      <t xml:space="preserve">STEAM</t>
    </r>
    <r>
      <rPr>
        <sz val="10"/>
        <color rgb="FF222222"/>
        <rFont val="WenQuanYi Zen Hei"/>
        <family val="2"/>
      </rPr>
      <t xml:space="preserve">の幅</t>
    </r>
  </si>
  <si>
    <r>
      <rPr>
        <sz val="10"/>
        <color rgb="FF222222"/>
        <rFont val="WenQuanYi Zen Hei"/>
        <family val="2"/>
      </rPr>
      <t xml:space="preserve">上位コースは月</t>
    </r>
    <r>
      <rPr>
        <sz val="10"/>
        <color rgb="FF222222"/>
        <rFont val="Meiryo"/>
        <family val="0"/>
        <charset val="1"/>
      </rPr>
      <t xml:space="preserve">1.5</t>
    </r>
    <r>
      <rPr>
        <sz val="10"/>
        <color rgb="FF222222"/>
        <rFont val="WenQuanYi Zen Hei"/>
        <family val="2"/>
      </rPr>
      <t xml:space="preserve">万円近い、教材を持ち帰れない、学生講師の質のばらつき</t>
    </r>
  </si>
  <si>
    <t xml:space="preserve">身近な素材を使ったものづくり・仕組み理解、作品の持ち帰り、講師品質の見える化、沿線外エリアでの出店</t>
  </si>
  <si>
    <t xml:space="preserve">口コミが少なく判断しにくい、教室により片方のコースのみ、教室数が少ない、低学年にはテキスト入力が難しい</t>
  </si>
  <si>
    <r>
      <rPr>
        <sz val="10"/>
        <color rgb="FF222222"/>
        <rFont val="WenQuanYi Zen Hei"/>
        <family val="2"/>
      </rPr>
      <t xml:space="preserve">年中〜低学年からの一貫性、創造・表現（</t>
    </r>
    <r>
      <rPr>
        <sz val="10"/>
        <color rgb="FF222222"/>
        <rFont val="Meiryo"/>
        <family val="0"/>
        <charset val="1"/>
      </rPr>
      <t xml:space="preserve">STEAM</t>
    </r>
    <r>
      <rPr>
        <sz val="10"/>
        <color rgb="FF222222"/>
        <rFont val="WenQuanYi Zen Hei"/>
        <family val="2"/>
      </rPr>
      <t xml:space="preserve">の</t>
    </r>
    <r>
      <rPr>
        <sz val="10"/>
        <color rgb="FF222222"/>
        <rFont val="Meiryo"/>
        <family val="0"/>
        <charset val="1"/>
      </rPr>
      <t xml:space="preserve">A</t>
    </r>
    <r>
      <rPr>
        <sz val="10"/>
        <color rgb="FF222222"/>
        <rFont val="WenQuanYi Zen Hei"/>
        <family val="2"/>
      </rPr>
      <t xml:space="preserve">）。価格ではなく内容密度・講師品質で比較軸を作る</t>
    </r>
  </si>
  <si>
    <r>
      <rPr>
        <sz val="10"/>
        <color rgb="FF222222"/>
        <rFont val="WenQuanYi Zen Hei"/>
        <family val="2"/>
      </rPr>
      <t xml:space="preserve">料金が業界最高水準、月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回前提で隔週通いができない、担当講師が固定でない、首都圏のみ</t>
    </r>
  </si>
  <si>
    <r>
      <rPr>
        <sz val="10"/>
        <color rgb="FF222222"/>
        <rFont val="Meiryo"/>
        <family val="0"/>
        <charset val="1"/>
      </rPr>
      <t xml:space="preserve">LITALICO</t>
    </r>
    <r>
      <rPr>
        <sz val="10"/>
        <color rgb="FF222222"/>
        <rFont val="WenQuanYi Zen Hei"/>
        <family val="2"/>
      </rPr>
      <t xml:space="preserve">並みの少人数・探究型を低価格・地域密着で。体系的カリキュラムの見える化、担当講師制</t>
    </r>
  </si>
  <si>
    <r>
      <rPr>
        <sz val="10"/>
        <color rgb="FF222222"/>
        <rFont val="WenQuanYi Zen Hei"/>
        <family val="2"/>
      </rPr>
      <t xml:space="preserve">料金が高い、渋谷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拠点のみ、女子が少ない、現在は入学できない</t>
    </r>
  </si>
  <si>
    <t xml:space="preserve">「本格的に学びたいが入れない」層の受け皿。外部大会に挑戦できる上位コース</t>
  </si>
  <si>
    <t xml:space="preserve">教室によって質がばらつく、自学自習で教わる感が薄い、画面内のみでものづくりなし</t>
  </si>
  <si>
    <r>
      <rPr>
        <sz val="10"/>
        <color rgb="FF222222"/>
        <rFont val="WenQuanYi Zen Hei"/>
        <family val="2"/>
      </rPr>
      <t xml:space="preserve">手を動かすハンズオン</t>
    </r>
    <r>
      <rPr>
        <sz val="10"/>
        <color rgb="FF222222"/>
        <rFont val="Meiryo"/>
        <family val="0"/>
        <charset val="1"/>
      </rPr>
      <t xml:space="preserve">STEAM</t>
    </r>
    <r>
      <rPr>
        <sz val="10"/>
        <color rgb="FF222222"/>
        <rFont val="WenQuanYi Zen Hei"/>
        <family val="2"/>
      </rPr>
      <t xml:space="preserve">で差別化、講師主導の対話型授業、小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未満の受け皿。加盟塾への提案では併設商材として比較される点に注意</t>
    </r>
  </si>
  <si>
    <t xml:space="preserve">途中で飽きる、親のサポートが必要、教材が難しい回がある</t>
  </si>
  <si>
    <t xml:space="preserve">「通信で続かなかった」家庭の受け皿。講師の伴走と仲間・発表の場</t>
  </si>
  <si>
    <t xml:space="preserve">質問がチャットで即時解決しにくい、ゲーム目的化の懸念</t>
  </si>
  <si>
    <t xml:space="preserve">リアルな体験と講師の伴走、低価格帯との価値の違いの説明</t>
  </si>
  <si>
    <r>
      <rPr>
        <sz val="10"/>
        <color rgb="FF222222"/>
        <rFont val="WenQuanYi Zen Hei"/>
        <family val="2"/>
      </rPr>
      <t xml:space="preserve">上位コースの月謝</t>
    </r>
    <r>
      <rPr>
        <sz val="10"/>
        <color rgb="FF222222"/>
        <rFont val="Meiryo"/>
        <family val="0"/>
        <charset val="1"/>
      </rPr>
      <t xml:space="preserve">16,500</t>
    </r>
    <r>
      <rPr>
        <sz val="10"/>
        <color rgb="FF222222"/>
        <rFont val="WenQuanYi Zen Hei"/>
        <family val="2"/>
      </rPr>
      <t xml:space="preserve">円は高額、講師による差、教室数が少ない</t>
    </r>
  </si>
  <si>
    <t xml:space="preserve">幼児からのものづくりの厚み、教室網の広さ</t>
  </si>
  <si>
    <r>
      <rPr>
        <b val="true"/>
        <sz val="14"/>
        <color rgb="FF1F2A44"/>
        <rFont val="WenQuanYi Zen Hei"/>
        <family val="2"/>
      </rPr>
      <t xml:space="preserve">ポジショニング（価格 </t>
    </r>
    <r>
      <rPr>
        <b val="true"/>
        <sz val="14"/>
        <color rgb="FF1F2A44"/>
        <rFont val="Meiryo"/>
        <family val="0"/>
        <charset val="1"/>
      </rPr>
      <t xml:space="preserve">× </t>
    </r>
    <r>
      <rPr>
        <b val="true"/>
        <sz val="14"/>
        <color rgb="FF1F2A44"/>
        <rFont val="WenQuanYi Zen Hei"/>
        <family val="2"/>
      </rPr>
      <t xml:space="preserve">学びのスタイル）</t>
    </r>
  </si>
  <si>
    <r>
      <rPr>
        <sz val="9"/>
        <color rgb="FF666666"/>
        <rFont val="WenQuanYi Zen Hei"/>
        <family val="2"/>
      </rPr>
      <t xml:space="preserve">体験スコア：</t>
    </r>
    <r>
      <rPr>
        <sz val="9"/>
        <color rgb="FF666666"/>
        <rFont val="Meiryo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＝画面内で完結するプログラミング／</t>
    </r>
    <r>
      <rPr>
        <sz val="9"/>
        <color rgb="FF666666"/>
        <rFont val="Meiryo"/>
        <family val="0"/>
        <charset val="1"/>
      </rPr>
      <t xml:space="preserve">5</t>
    </r>
    <r>
      <rPr>
        <sz val="9"/>
        <color rgb="FF666666"/>
        <rFont val="WenQuanYi Zen Hei"/>
        <family val="2"/>
      </rPr>
      <t xml:space="preserve">＝実物を使ったものづくり・仕組み理解（定性評価、青字は書き換え可）</t>
    </r>
  </si>
  <si>
    <r>
      <rPr>
        <b val="true"/>
        <sz val="10"/>
        <color rgb="FFFFFFFF"/>
        <rFont val="Meiryo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年総額（試算）</t>
    </r>
  </si>
  <si>
    <r>
      <rPr>
        <b val="true"/>
        <sz val="10"/>
        <color rgb="FFFFFFFF"/>
        <rFont val="WenQuanYi Zen Hei"/>
        <family val="2"/>
      </rPr>
      <t xml:space="preserve">体験スコア</t>
    </r>
    <r>
      <rPr>
        <b val="true"/>
        <sz val="10"/>
        <color rgb="FFFFFFFF"/>
        <rFont val="Meiryo"/>
        <family val="0"/>
        <charset val="1"/>
      </rPr>
      <t xml:space="preserve">(1-5)</t>
    </r>
  </si>
  <si>
    <t xml:space="preserve">対象年齢の下限</t>
  </si>
  <si>
    <t xml:space="preserve">年中</t>
  </si>
  <si>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歳</t>
    </r>
  </si>
  <si>
    <t xml:space="preserve">年長</t>
  </si>
  <si>
    <r>
      <rPr>
        <sz val="10"/>
        <color rgb="FF222222"/>
        <rFont val="WenQuanYi Zen Hei"/>
        <family val="2"/>
      </rPr>
      <t xml:space="preserve">小</t>
    </r>
    <r>
      <rPr>
        <sz val="10"/>
        <color rgb="FF222222"/>
        <rFont val="Meiryo"/>
        <family val="0"/>
        <charset val="1"/>
      </rPr>
      <t xml:space="preserve">3</t>
    </r>
  </si>
  <si>
    <r>
      <rPr>
        <sz val="10"/>
        <color rgb="FF222222"/>
        <rFont val="WenQuanYi Zen Hei"/>
        <family val="2"/>
      </rPr>
      <t xml:space="preserve">小</t>
    </r>
    <r>
      <rPr>
        <sz val="10"/>
        <color rgb="FF222222"/>
        <rFont val="Meiryo"/>
        <family val="0"/>
        <charset val="1"/>
      </rPr>
      <t xml:space="preserve">1</t>
    </r>
  </si>
  <si>
    <r>
      <rPr>
        <sz val="10"/>
        <color rgb="FF222222"/>
        <rFont val="WenQuanYi Zen Hei"/>
        <family val="2"/>
      </rPr>
      <t xml:space="preserve">小</t>
    </r>
    <r>
      <rPr>
        <sz val="10"/>
        <color rgb="FF222222"/>
        <rFont val="Meiryo"/>
        <family val="0"/>
        <charset val="1"/>
      </rPr>
      <t xml:space="preserve">2</t>
    </r>
  </si>
  <si>
    <r>
      <rPr>
        <sz val="9"/>
        <color rgb="FF555555"/>
        <rFont val="WenQuanYi Zen Hei"/>
        <family val="2"/>
      </rPr>
      <t xml:space="preserve">読み取り：「</t>
    </r>
    <r>
      <rPr>
        <sz val="9"/>
        <color rgb="FF555555"/>
        <rFont val="Meiryo"/>
        <family val="0"/>
        <charset val="1"/>
      </rPr>
      <t xml:space="preserve">3</t>
    </r>
    <r>
      <rPr>
        <sz val="9"/>
        <color rgb="FF555555"/>
        <rFont val="WenQuanYi Zen Hei"/>
        <family val="2"/>
      </rPr>
      <t xml:space="preserve">年</t>
    </r>
    <r>
      <rPr>
        <sz val="9"/>
        <color rgb="FF555555"/>
        <rFont val="Meiryo"/>
        <family val="0"/>
        <charset val="1"/>
      </rPr>
      <t xml:space="preserve">40</t>
    </r>
    <r>
      <rPr>
        <sz val="9"/>
        <color rgb="FF555555"/>
        <rFont val="WenQuanYi Zen Hei"/>
        <family val="2"/>
      </rPr>
      <t xml:space="preserve">〜</t>
    </r>
    <r>
      <rPr>
        <sz val="9"/>
        <color rgb="FF555555"/>
        <rFont val="Meiryo"/>
        <family val="0"/>
        <charset val="1"/>
      </rPr>
      <t xml:space="preserve">50</t>
    </r>
    <r>
      <rPr>
        <sz val="9"/>
        <color rgb="FF555555"/>
        <rFont val="WenQuanYi Zen Hei"/>
        <family val="2"/>
      </rPr>
      <t xml:space="preserve">万円 </t>
    </r>
    <r>
      <rPr>
        <sz val="9"/>
        <color rgb="FF555555"/>
        <rFont val="Meiryo"/>
        <family val="0"/>
        <charset val="1"/>
      </rPr>
      <t xml:space="preserve">× </t>
    </r>
    <r>
      <rPr>
        <sz val="9"/>
        <color rgb="FF555555"/>
        <rFont val="WenQuanYi Zen Hei"/>
        <family val="2"/>
      </rPr>
      <t xml:space="preserve">ものづくり寄り」にステモン・ヒューマンアカデミー・エジソンアカデミー・プログラボ・</t>
    </r>
    <r>
      <rPr>
        <sz val="9"/>
        <color rgb="FF555555"/>
        <rFont val="Meiryo"/>
        <family val="0"/>
        <charset val="1"/>
      </rPr>
      <t xml:space="preserve">STEAM Campus</t>
    </r>
    <r>
      <rPr>
        <sz val="9"/>
        <color rgb="FF555555"/>
        <rFont val="WenQuanYi Zen Hei"/>
        <family val="2"/>
      </rPr>
      <t xml:space="preserve">が集中。価格帯内での差別化軸（講師品質・成果の見える化・年中からの一貫性）が重要。</t>
    </r>
  </si>
  <si>
    <r>
      <rPr>
        <b val="true"/>
        <sz val="14"/>
        <color rgb="FF1F2A44"/>
        <rFont val="WenQuanYi Zen Hei"/>
        <family val="2"/>
      </rPr>
      <t xml:space="preserve">ステモンの</t>
    </r>
    <r>
      <rPr>
        <b val="true"/>
        <sz val="14"/>
        <color rgb="FF1F2A44"/>
        <rFont val="Meiryo"/>
        <family val="0"/>
        <charset val="1"/>
      </rPr>
      <t xml:space="preserve">SWOT</t>
    </r>
    <r>
      <rPr>
        <b val="true"/>
        <sz val="14"/>
        <color rgb="FF1F2A44"/>
        <rFont val="WenQuanYi Zen Hei"/>
        <family val="2"/>
      </rPr>
      <t xml:space="preserve">と提言</t>
    </r>
  </si>
  <si>
    <t xml:space="preserve">競合比較の結果から導出（社内検討用のたたき台）</t>
  </si>
  <si>
    <r>
      <rPr>
        <b val="true"/>
        <sz val="10"/>
        <color rgb="FFFFFFFF"/>
        <rFont val="WenQuanYi Zen Hei"/>
        <family val="2"/>
      </rPr>
      <t xml:space="preserve">強み（</t>
    </r>
    <r>
      <rPr>
        <b val="true"/>
        <sz val="10"/>
        <color rgb="FFFFFFFF"/>
        <rFont val="Meiryo"/>
        <family val="0"/>
        <charset val="1"/>
      </rPr>
      <t xml:space="preserve">Strength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</si>
  <si>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b val="true"/>
        <sz val="10"/>
        <color rgb="FFFFFFFF"/>
        <rFont val="WenQuanYi Zen Hei"/>
        <family val="2"/>
      </rPr>
      <t xml:space="preserve">弱み（</t>
    </r>
    <r>
      <rPr>
        <b val="true"/>
        <sz val="10"/>
        <color rgb="FFFFFFFF"/>
        <rFont val="Meiryo"/>
        <family val="0"/>
        <charset val="1"/>
      </rPr>
      <t xml:space="preserve">Weakness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</si>
  <si>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S1</t>
  </si>
  <si>
    <r>
      <rPr>
        <sz val="10"/>
        <color rgb="FF222222"/>
        <rFont val="WenQuanYi Zen Hei"/>
        <family val="2"/>
      </rPr>
      <t xml:space="preserve">年中から通える</t>
    </r>
    <r>
      <rPr>
        <sz val="10"/>
        <color rgb="FF222222"/>
        <rFont val="Meiryo"/>
        <family val="0"/>
        <charset val="1"/>
      </rPr>
      <t xml:space="preserve">STEAM</t>
    </r>
    <r>
      <rPr>
        <sz val="10"/>
        <color rgb="FF222222"/>
        <rFont val="WenQuanYi Zen Hei"/>
        <family val="2"/>
      </rPr>
      <t xml:space="preserve">（物理の仕組み＋ものづくり＋プログラミング）</t>
    </r>
  </si>
  <si>
    <t xml:space="preserve">W1</t>
  </si>
  <si>
    <r>
      <rPr>
        <sz val="10"/>
        <color rgb="FF222222"/>
        <rFont val="WenQuanYi Zen Hei"/>
        <family val="2"/>
      </rPr>
      <t xml:space="preserve">月謝＋諸費用で年</t>
    </r>
    <r>
      <rPr>
        <sz val="10"/>
        <color rgb="FF222222"/>
        <rFont val="Meiryo"/>
        <family val="0"/>
        <charset val="1"/>
      </rPr>
      <t xml:space="preserve">15</t>
    </r>
    <r>
      <rPr>
        <sz val="10"/>
        <color rgb="FF222222"/>
        <rFont val="WenQuanYi Zen Hei"/>
        <family val="2"/>
      </rPr>
      <t xml:space="preserve">万円前後（オンライン系の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倍）</t>
    </r>
  </si>
  <si>
    <t xml:space="preserve">S2</t>
  </si>
  <si>
    <r>
      <rPr>
        <sz val="10"/>
        <color rgb="FF222222"/>
        <rFont val="WenQuanYi Zen Hei"/>
        <family val="2"/>
      </rPr>
      <t xml:space="preserve">少人数（幼児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名・小学生</t>
    </r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WenQuanYi Zen Hei"/>
        <family val="2"/>
      </rPr>
      <t xml:space="preserve">名）の対面授業</t>
    </r>
  </si>
  <si>
    <t xml:space="preserve">W2</t>
  </si>
  <si>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で振替ルール・講師品質が教室ごとにばらつく</t>
    </r>
  </si>
  <si>
    <t xml:space="preserve">S3</t>
  </si>
  <si>
    <t xml:space="preserve">教材は教室で貸出＝購入不要で初期費用が低い</t>
  </si>
  <si>
    <t xml:space="preserve">W3</t>
  </si>
  <si>
    <t xml:space="preserve">講師は未経験可のアルバイト中心</t>
  </si>
  <si>
    <t xml:space="preserve">S4</t>
  </si>
  <si>
    <t xml:space="preserve">小学生ロボコン公式予選「ステモンカップ」を自社主催</t>
  </si>
  <si>
    <t xml:space="preserve">W4</t>
  </si>
  <si>
    <r>
      <rPr>
        <sz val="10"/>
        <color rgb="FF222222"/>
        <rFont val="WenQuanYi Zen Hei"/>
        <family val="2"/>
      </rPr>
      <t xml:space="preserve">小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以降の本格コード（</t>
    </r>
    <r>
      <rPr>
        <sz val="10"/>
        <color rgb="FF222222"/>
        <rFont val="Meiryo"/>
        <family val="0"/>
        <charset val="1"/>
      </rPr>
      <t xml:space="preserve">Python/Unity</t>
    </r>
    <r>
      <rPr>
        <sz val="10"/>
        <color rgb="FF222222"/>
        <rFont val="WenQuanYi Zen Hei"/>
        <family val="2"/>
      </rPr>
      <t xml:space="preserve">等）の出口が薄い</t>
    </r>
  </si>
  <si>
    <t xml:space="preserve">S5</t>
  </si>
  <si>
    <r>
      <rPr>
        <sz val="10"/>
        <color rgb="FF222222"/>
        <rFont val="Meiryo"/>
        <family val="0"/>
        <charset val="1"/>
      </rPr>
      <t xml:space="preserve">170</t>
    </r>
    <r>
      <rPr>
        <sz val="10"/>
        <color rgb="FF222222"/>
        <rFont val="WenQuanYi Zen Hei"/>
        <family val="2"/>
      </rPr>
      <t xml:space="preserve">教室超、出店継続（学童・フリースクールへも展開）</t>
    </r>
  </si>
  <si>
    <t xml:space="preserve">W5</t>
  </si>
  <si>
    <t xml:space="preserve">入会金・施設費の表示が情報源でばらつき、総額が分かりにくい</t>
  </si>
  <si>
    <r>
      <rPr>
        <b val="true"/>
        <sz val="10"/>
        <color rgb="FFFFFFFF"/>
        <rFont val="WenQuanYi Zen Hei"/>
        <family val="2"/>
      </rPr>
      <t xml:space="preserve">機会（</t>
    </r>
    <r>
      <rPr>
        <b val="true"/>
        <sz val="10"/>
        <color rgb="FFFFFFFF"/>
        <rFont val="Meiryo"/>
        <family val="0"/>
        <charset val="1"/>
      </rPr>
      <t xml:space="preserve">Opportunity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</si>
  <si>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b val="true"/>
        <sz val="10"/>
        <color rgb="FFFFFFFF"/>
        <rFont val="WenQuanYi Zen Hei"/>
        <family val="2"/>
      </rPr>
      <t xml:space="preserve">脅威（</t>
    </r>
    <r>
      <rPr>
        <b val="true"/>
        <sz val="10"/>
        <color rgb="FFFFFFFF"/>
        <rFont val="Meiryo"/>
        <family val="0"/>
        <charset val="1"/>
      </rPr>
      <t xml:space="preserve">Threat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</si>
  <si>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O1</t>
  </si>
  <si>
    <r>
      <rPr>
        <sz val="10"/>
        <color rgb="FF222222"/>
        <rFont val="Meiryo"/>
        <family val="0"/>
        <charset val="1"/>
      </rPr>
      <t xml:space="preserve">STEAM Campus</t>
    </r>
    <r>
      <rPr>
        <sz val="10"/>
        <color rgb="FF222222"/>
        <rFont val="WenQuanYi Zen Hei"/>
        <family val="2"/>
      </rPr>
      <t xml:space="preserve">の「</t>
    </r>
    <r>
      <rPr>
        <sz val="10"/>
        <color rgb="FF222222"/>
        <rFont val="Meiryo"/>
        <family val="0"/>
        <charset val="1"/>
      </rPr>
      <t xml:space="preserve">LEGO</t>
    </r>
    <r>
      <rPr>
        <sz val="10"/>
        <color rgb="FF222222"/>
        <rFont val="WenQuanYi Zen Hei"/>
        <family val="2"/>
      </rPr>
      <t xml:space="preserve">ブランド喪失」で幼児層が流動化</t>
    </r>
  </si>
  <si>
    <t xml:space="preserve">T1</t>
  </si>
  <si>
    <r>
      <rPr>
        <sz val="10"/>
        <color rgb="FF222222"/>
        <rFont val="WenQuanYi Zen Hei"/>
        <family val="2"/>
      </rPr>
      <t xml:space="preserve">ヒューマンアカデミー（</t>
    </r>
    <r>
      <rPr>
        <sz val="10"/>
        <color rgb="FF222222"/>
        <rFont val="Meiryo"/>
        <family val="0"/>
        <charset val="1"/>
      </rPr>
      <t xml:space="preserve">2,000</t>
    </r>
    <r>
      <rPr>
        <sz val="10"/>
        <color rgb="FF222222"/>
        <rFont val="WenQuanYi Zen Hei"/>
        <family val="2"/>
      </rPr>
      <t xml:space="preserve">教室超）、</t>
    </r>
    <r>
      <rPr>
        <sz val="10"/>
        <color rgb="FF222222"/>
        <rFont val="Meiryo"/>
        <family val="0"/>
        <charset val="1"/>
      </rPr>
      <t xml:space="preserve">QUREO</t>
    </r>
    <r>
      <rPr>
        <sz val="10"/>
        <color rgb="FF222222"/>
        <rFont val="WenQuanYi Zen Hei"/>
        <family val="2"/>
      </rPr>
      <t xml:space="preserve">（</t>
    </r>
    <r>
      <rPr>
        <sz val="10"/>
        <color rgb="FF222222"/>
        <rFont val="Meiryo"/>
        <family val="0"/>
        <charset val="1"/>
      </rPr>
      <t xml:space="preserve">3,000</t>
    </r>
    <r>
      <rPr>
        <sz val="10"/>
        <color rgb="FF222222"/>
        <rFont val="WenQuanYi Zen Hei"/>
        <family val="2"/>
      </rPr>
      <t xml:space="preserve">教室超）の規模と塾併設</t>
    </r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の拡大</t>
    </r>
  </si>
  <si>
    <t xml:space="preserve">O2</t>
  </si>
  <si>
    <r>
      <rPr>
        <sz val="10"/>
        <color rgb="FF222222"/>
        <rFont val="Meiryo"/>
        <family val="0"/>
        <charset val="1"/>
      </rPr>
      <t xml:space="preserve">Tech Kids School</t>
    </r>
    <r>
      <rPr>
        <sz val="10"/>
        <color rgb="FF222222"/>
        <rFont val="WenQuanYi Zen Hei"/>
        <family val="2"/>
      </rPr>
      <t xml:space="preserve">の新規受付停止、</t>
    </r>
    <r>
      <rPr>
        <sz val="10"/>
        <color rgb="FF222222"/>
        <rFont val="Meiryo"/>
        <family val="0"/>
        <charset val="1"/>
      </rPr>
      <t xml:space="preserve">Z</t>
    </r>
    <r>
      <rPr>
        <sz val="10"/>
        <color rgb="FF222222"/>
        <rFont val="WenQuanYi Zen Hei"/>
        <family val="2"/>
      </rPr>
      <t xml:space="preserve">会の講座縮小で受け皿需要</t>
    </r>
  </si>
  <si>
    <t xml:space="preserve">T2</t>
  </si>
  <si>
    <r>
      <rPr>
        <sz val="10"/>
        <color rgb="FF222222"/>
        <rFont val="WenQuanYi Zen Hei"/>
        <family val="2"/>
      </rPr>
      <t xml:space="preserve">プログラボの入会金・教材費</t>
    </r>
    <r>
      <rPr>
        <sz val="10"/>
        <color rgb="FF222222"/>
        <rFont val="Meiryo"/>
        <family val="0"/>
        <charset val="1"/>
      </rPr>
      <t xml:space="preserve">0</t>
    </r>
    <r>
      <rPr>
        <sz val="10"/>
        <color rgb="FF222222"/>
        <rFont val="WenQuanYi Zen Hei"/>
        <family val="2"/>
      </rPr>
      <t xml:space="preserve">円モデル</t>
    </r>
  </si>
  <si>
    <t xml:space="preserve">O3</t>
  </si>
  <si>
    <t xml:space="preserve">ロボ団・プログラボは作品を持ち帰れない→「成果の見える化」で差別化余地</t>
  </si>
  <si>
    <t xml:space="preserve">T3</t>
  </si>
  <si>
    <r>
      <rPr>
        <sz val="10"/>
        <color rgb="FF222222"/>
        <rFont val="WenQuanYi Zen Hei"/>
        <family val="2"/>
      </rPr>
      <t xml:space="preserve">クレファス（時給</t>
    </r>
    <r>
      <rPr>
        <sz val="10"/>
        <color rgb="FF222222"/>
        <rFont val="Meiryo"/>
        <family val="0"/>
        <charset val="1"/>
      </rPr>
      <t xml:space="preserve">2,000</t>
    </r>
    <r>
      <rPr>
        <sz val="10"/>
        <color rgb="FF222222"/>
        <rFont val="WenQuanYi Zen Hei"/>
        <family val="2"/>
      </rPr>
      <t xml:space="preserve">円超）等との講師採用競争</t>
    </r>
  </si>
  <si>
    <t xml:space="preserve">O4</t>
  </si>
  <si>
    <t xml:space="preserve">競合の多くが総額非公開・教材の買い足しあり→総額の透明化で優位</t>
  </si>
  <si>
    <t xml:space="preserve">T4</t>
  </si>
  <si>
    <r>
      <rPr>
        <sz val="10"/>
        <color rgb="FF222222"/>
        <rFont val="WenQuanYi Zen Hei"/>
        <family val="2"/>
      </rPr>
      <t xml:space="preserve">オンライン系（年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7</t>
    </r>
    <r>
      <rPr>
        <sz val="10"/>
        <color rgb="FF222222"/>
        <rFont val="WenQuanYi Zen Hei"/>
        <family val="2"/>
      </rPr>
      <t xml:space="preserve">万円）の低価格化</t>
    </r>
  </si>
  <si>
    <t xml:space="preserve">O5</t>
  </si>
  <si>
    <r>
      <rPr>
        <sz val="10"/>
        <color rgb="FF222222"/>
        <rFont val="WenQuanYi Zen Hei"/>
        <family val="2"/>
      </rPr>
      <t xml:space="preserve">沿線・首都圏外の空白エリア（</t>
    </r>
    <r>
      <rPr>
        <sz val="10"/>
        <color rgb="FF222222"/>
        <rFont val="Meiryo"/>
        <family val="0"/>
        <charset val="1"/>
      </rPr>
      <t xml:space="preserve">LITALICO</t>
    </r>
    <r>
      <rPr>
        <sz val="10"/>
        <color rgb="FF222222"/>
        <rFont val="WenQuanYi Zen Hei"/>
        <family val="2"/>
      </rPr>
      <t xml:space="preserve">・プログラボ・</t>
    </r>
    <r>
      <rPr>
        <sz val="10"/>
        <color rgb="FF222222"/>
        <rFont val="Meiryo"/>
        <family val="0"/>
        <charset val="1"/>
      </rPr>
      <t xml:space="preserve">CodeCampKIDS</t>
    </r>
    <r>
      <rPr>
        <sz val="10"/>
        <color rgb="FF222222"/>
        <rFont val="WenQuanYi Zen Hei"/>
        <family val="2"/>
      </rPr>
      <t xml:space="preserve">は偏在）</t>
    </r>
  </si>
  <si>
    <t xml:space="preserve">T5</t>
  </si>
  <si>
    <r>
      <rPr>
        <sz val="10"/>
        <color rgb="FF222222"/>
        <rFont val="WenQuanYi Zen Hei"/>
        <family val="2"/>
      </rPr>
      <t xml:space="preserve">競合の大会実績（クレファスの</t>
    </r>
    <r>
      <rPr>
        <sz val="10"/>
        <color rgb="FF222222"/>
        <rFont val="Meiryo"/>
        <family val="0"/>
        <charset val="1"/>
      </rPr>
      <t xml:space="preserve">FLL</t>
    </r>
    <r>
      <rPr>
        <sz val="10"/>
        <color rgb="FF222222"/>
        <rFont val="WenQuanYi Zen Hei"/>
        <family val="2"/>
      </rPr>
      <t xml:space="preserve">世界大会等）による上位層の流出</t>
    </r>
  </si>
  <si>
    <t xml:space="preserve">領域</t>
  </si>
  <si>
    <t xml:space="preserve">打ち手</t>
  </si>
  <si>
    <t xml:space="preserve">優先度</t>
  </si>
  <si>
    <t xml:space="preserve">期間の目安</t>
  </si>
  <si>
    <t xml:space="preserve">料金</t>
  </si>
  <si>
    <r>
      <rPr>
        <sz val="10"/>
        <color rgb="FF222222"/>
        <rFont val="WenQuanYi Zen Hei"/>
        <family val="2"/>
      </rPr>
      <t xml:space="preserve">「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年総額」の公式提示と、競合との総額比較表を体験会で配布。入会金・施設費の表記を全教室で統一</t>
    </r>
  </si>
  <si>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か月</t>
    </r>
  </si>
  <si>
    <t xml:space="preserve">カリキュラム</t>
  </si>
  <si>
    <r>
      <rPr>
        <sz val="10"/>
        <color rgb="FF222222"/>
        <rFont val="WenQuanYi Zen Hei"/>
        <family val="2"/>
      </rPr>
      <t xml:space="preserve">小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WenQuanYi Zen Hei"/>
        <family val="2"/>
      </rPr>
      <t xml:space="preserve">向けの出口（テキストコーディング・外部大会挑戦コース）を強化し、高学年の退会を防ぐ</t>
    </r>
  </si>
  <si>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12</t>
    </r>
    <r>
      <rPr>
        <sz val="10"/>
        <color rgb="FF222222"/>
        <rFont val="WenQuanYi Zen Hei"/>
        <family val="2"/>
      </rPr>
      <t xml:space="preserve">か月</t>
    </r>
  </si>
  <si>
    <t xml:space="preserve">講師品質</t>
  </si>
  <si>
    <r>
      <rPr>
        <sz val="10"/>
        <color rgb="FF222222"/>
        <rFont val="WenQuanYi Zen Hei"/>
        <family val="2"/>
      </rPr>
      <t xml:space="preserve">研修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か月・グレード制を「講師品質の約束」として外部に発信。</t>
    </r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教室を含めた授業品質チェックを定例化</t>
    </r>
  </si>
  <si>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WenQuanYi Zen Hei"/>
        <family val="2"/>
      </rPr>
      <t xml:space="preserve">か月</t>
    </r>
  </si>
  <si>
    <t xml:space="preserve">成果の見える化</t>
  </si>
  <si>
    <t xml:space="preserve">作品持ち帰り＋毎回の保護者レポート（写真・コメント）を標準化し、ロボ団・プログラボとの差別化軸にする</t>
  </si>
  <si>
    <t xml:space="preserve">集客・ターゲット</t>
  </si>
  <si>
    <r>
      <rPr>
        <sz val="10"/>
        <color rgb="FF222222"/>
        <rFont val="Meiryo"/>
        <family val="0"/>
        <charset val="1"/>
      </rPr>
      <t xml:space="preserve">STEAM Campus</t>
    </r>
    <r>
      <rPr>
        <sz val="10"/>
        <color rgb="FF222222"/>
        <rFont val="WenQuanYi Zen Hei"/>
        <family val="2"/>
      </rPr>
      <t xml:space="preserve">・</t>
    </r>
    <r>
      <rPr>
        <sz val="10"/>
        <color rgb="FF222222"/>
        <rFont val="Meiryo"/>
        <family val="0"/>
        <charset val="1"/>
      </rPr>
      <t xml:space="preserve">Tech Kids</t>
    </r>
    <r>
      <rPr>
        <sz val="10"/>
        <color rgb="FF222222"/>
        <rFont val="WenQuanYi Zen Hei"/>
        <family val="2"/>
      </rPr>
      <t xml:space="preserve">・</t>
    </r>
    <r>
      <rPr>
        <sz val="10"/>
        <color rgb="FF222222"/>
        <rFont val="Meiryo"/>
        <family val="0"/>
        <charset val="1"/>
      </rPr>
      <t xml:space="preserve">Z</t>
    </r>
    <r>
      <rPr>
        <sz val="10"/>
        <color rgb="FF222222"/>
        <rFont val="WenQuanYi Zen Hei"/>
        <family val="2"/>
      </rPr>
      <t xml:space="preserve">会からの流出層向けキャンペーン（乗り換え入会金免除など）</t>
    </r>
  </si>
  <si>
    <t xml:space="preserve">出店</t>
  </si>
  <si>
    <r>
      <rPr>
        <sz val="10"/>
        <color rgb="FF222222"/>
        <rFont val="WenQuanYi Zen Hei"/>
        <family val="2"/>
      </rPr>
      <t xml:space="preserve">沿線外・地方の空白エリアを競合マップで特定し、</t>
    </r>
    <r>
      <rPr>
        <sz val="10"/>
        <color rgb="FF222222"/>
        <rFont val="Meiryo"/>
        <family val="0"/>
        <charset val="1"/>
      </rPr>
      <t xml:space="preserve">FC</t>
    </r>
    <r>
      <rPr>
        <sz val="10"/>
        <color rgb="FF222222"/>
        <rFont val="WenQuanYi Zen Hei"/>
        <family val="2"/>
      </rPr>
      <t xml:space="preserve">開拓の優先エリアに設定</t>
    </r>
  </si>
  <si>
    <t xml:space="preserve">パートナー</t>
  </si>
  <si>
    <t xml:space="preserve">ナリカ等の教材サプライヤーとの教材調達・学校連携（公教育）の協業を検討</t>
  </si>
  <si>
    <r>
      <rPr>
        <sz val="10"/>
        <color rgb="FF222222"/>
        <rFont val="Meiryo"/>
        <family val="0"/>
        <charset val="1"/>
      </rPr>
      <t xml:space="preserve">12</t>
    </r>
    <r>
      <rPr>
        <sz val="10"/>
        <color rgb="FF222222"/>
        <rFont val="WenQuanYi Zen Hei"/>
        <family val="2"/>
      </rPr>
      <t xml:space="preserve">か月〜</t>
    </r>
  </si>
  <si>
    <t xml:space="preserve">要確認リスト（公式ページ等で確認が必要な項目）</t>
  </si>
  <si>
    <t xml:space="preserve">確認したら「状態」を更新し、該当シートの値を修正する</t>
  </si>
  <si>
    <t xml:space="preserve">No</t>
  </si>
  <si>
    <t xml:space="preserve">確認項目</t>
  </si>
  <si>
    <t xml:space="preserve">現在の値・状況</t>
  </si>
  <si>
    <t xml:space="preserve">確認先</t>
  </si>
  <si>
    <t xml:space="preserve">状態</t>
  </si>
  <si>
    <t xml:space="preserve">ステモン</t>
  </si>
  <si>
    <t xml:space="preserve">入会金・施設管理費の正しい金額</t>
  </si>
  <si>
    <r>
      <rPr>
        <sz val="10"/>
        <color rgb="FF222222"/>
        <rFont val="WenQuanYi Zen Hei"/>
        <family val="2"/>
      </rPr>
      <t xml:space="preserve">入会金</t>
    </r>
    <r>
      <rPr>
        <sz val="10"/>
        <color rgb="FF222222"/>
        <rFont val="Meiryo"/>
        <family val="0"/>
        <charset val="1"/>
      </rPr>
      <t xml:space="preserve">16,500</t>
    </r>
    <r>
      <rPr>
        <sz val="10"/>
        <color rgb="FF222222"/>
        <rFont val="WenQuanYi Zen Hei"/>
        <family val="2"/>
      </rPr>
      <t xml:space="preserve">円 </t>
    </r>
    <r>
      <rPr>
        <sz val="10"/>
        <color rgb="FF222222"/>
        <rFont val="Meiryo"/>
        <family val="0"/>
        <charset val="1"/>
      </rPr>
      <t xml:space="preserve">or 5,500</t>
    </r>
    <r>
      <rPr>
        <sz val="10"/>
        <color rgb="FF222222"/>
        <rFont val="WenQuanYi Zen Hei"/>
        <family val="2"/>
      </rPr>
      <t xml:space="preserve">円／施設費</t>
    </r>
    <r>
      <rPr>
        <sz val="10"/>
        <color rgb="FF222222"/>
        <rFont val="Meiryo"/>
        <family val="0"/>
        <charset val="1"/>
      </rPr>
      <t xml:space="preserve">880</t>
    </r>
    <r>
      <rPr>
        <sz val="10"/>
        <color rgb="FF222222"/>
        <rFont val="WenQuanYi Zen Hei"/>
        <family val="2"/>
      </rPr>
      <t xml:space="preserve">円 </t>
    </r>
    <r>
      <rPr>
        <sz val="10"/>
        <color rgb="FF222222"/>
        <rFont val="Meiryo"/>
        <family val="0"/>
        <charset val="1"/>
      </rPr>
      <t xml:space="preserve">or 2,200</t>
    </r>
    <r>
      <rPr>
        <sz val="10"/>
        <color rgb="FF222222"/>
        <rFont val="WenQuanYi Zen Hei"/>
        <family val="2"/>
      </rPr>
      <t xml:space="preserve">円で情報が食い違う</t>
    </r>
  </si>
  <si>
    <t xml:space="preserve">社内（料金表）</t>
  </si>
  <si>
    <t xml:space="preserve">未確認</t>
  </si>
  <si>
    <r>
      <rPr>
        <sz val="10"/>
        <color rgb="FF222222"/>
        <rFont val="WenQuanYi Zen Hei"/>
        <family val="2"/>
      </rPr>
      <t xml:space="preserve">プログラミング＆ロボティクス（小</t>
    </r>
    <r>
      <rPr>
        <sz val="10"/>
        <color rgb="FF222222"/>
        <rFont val="Meiryo"/>
        <family val="0"/>
        <charset val="1"/>
      </rPr>
      <t xml:space="preserve">4</t>
    </r>
    <r>
      <rPr>
        <sz val="10"/>
        <color rgb="FF222222"/>
        <rFont val="WenQuanYi Zen Hei"/>
        <family val="2"/>
      </rPr>
      <t xml:space="preserve">〜）の月謝</t>
    </r>
  </si>
  <si>
    <t xml:space="preserve">未取得</t>
  </si>
  <si>
    <t xml:space="preserve">振替ルール・保護者レポートの有無・教材製品名</t>
  </si>
  <si>
    <t xml:space="preserve">教室ごとに異なる（要確認）</t>
  </si>
  <si>
    <t xml:space="preserve">社内</t>
  </si>
  <si>
    <t xml:space="preserve">STEAM Campus</t>
  </si>
  <si>
    <t xml:space="preserve">コース別の月謝、設備費・指導関連費、月の回数、教室総数</t>
  </si>
  <si>
    <r>
      <rPr>
        <sz val="10"/>
        <color rgb="FF222222"/>
        <rFont val="WenQuanYi Zen Hei"/>
        <family val="2"/>
      </rPr>
      <t xml:space="preserve">月謝は二次情報の平均値</t>
    </r>
    <r>
      <rPr>
        <sz val="10"/>
        <color rgb="FF222222"/>
        <rFont val="Meiryo"/>
        <family val="0"/>
        <charset val="1"/>
      </rPr>
      <t xml:space="preserve">11,100</t>
    </r>
    <r>
      <rPr>
        <sz val="10"/>
        <color rgb="FF222222"/>
        <rFont val="WenQuanYi Zen Hei"/>
        <family val="2"/>
      </rPr>
      <t xml:space="preserve">円</t>
    </r>
  </si>
  <si>
    <r>
      <rPr>
        <sz val="10"/>
        <color rgb="FF222222"/>
        <rFont val="Meiryo"/>
        <family val="0"/>
        <charset val="1"/>
      </rPr>
      <t xml:space="preserve">steamcampus.jp</t>
    </r>
    <r>
      <rPr>
        <sz val="10"/>
        <color rgb="FF222222"/>
        <rFont val="WenQuanYi Zen Hei"/>
        <family val="2"/>
      </rPr>
      <t xml:space="preserve">／各運営会社サイト</t>
    </r>
  </si>
  <si>
    <t xml:space="preserve">ヒューマンアカデミー</t>
  </si>
  <si>
    <t xml:space="preserve">現在のキット代・進級時の追加キット額</t>
  </si>
  <si>
    <r>
      <rPr>
        <sz val="10"/>
        <color rgb="FF222222"/>
        <rFont val="Meiryo"/>
        <family val="0"/>
        <charset val="1"/>
      </rPr>
      <t xml:space="preserve">33,000</t>
    </r>
    <r>
      <rPr>
        <sz val="10"/>
        <color rgb="FF222222"/>
        <rFont val="WenQuanYi Zen Hei"/>
        <family val="2"/>
      </rPr>
      <t xml:space="preserve">円（旧</t>
    </r>
    <r>
      <rPr>
        <sz val="10"/>
        <color rgb="FF222222"/>
        <rFont val="Meiryo"/>
        <family val="0"/>
        <charset val="1"/>
      </rPr>
      <t xml:space="preserve">31,350</t>
    </r>
    <r>
      <rPr>
        <sz val="10"/>
        <color rgb="FF222222"/>
        <rFont val="WenQuanYi Zen Hei"/>
        <family val="2"/>
      </rPr>
      <t xml:space="preserve">円）、追加は約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2.6</t>
    </r>
    <r>
      <rPr>
        <sz val="10"/>
        <color rgb="FF222222"/>
        <rFont val="WenQuanYi Zen Hei"/>
        <family val="2"/>
      </rPr>
      <t xml:space="preserve">万円と食い違い</t>
    </r>
  </si>
  <si>
    <t xml:space="preserve">kids.athuman.com/robo/</t>
  </si>
  <si>
    <t xml:space="preserve">コース別月謝、教材レンタル料・タブレット代の有無、最新教室数、講師時給</t>
  </si>
  <si>
    <r>
      <rPr>
        <sz val="10"/>
        <color rgb="FF222222"/>
        <rFont val="WenQuanYi Zen Hei"/>
        <family val="2"/>
      </rPr>
      <t xml:space="preserve">月謝</t>
    </r>
    <r>
      <rPr>
        <sz val="10"/>
        <color rgb="FF222222"/>
        <rFont val="Meiryo"/>
        <family val="0"/>
        <charset val="1"/>
      </rPr>
      <t xml:space="preserve">9,800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15,800</t>
    </r>
    <r>
      <rPr>
        <sz val="10"/>
        <color rgb="FF222222"/>
        <rFont val="WenQuanYi Zen Hei"/>
        <family val="2"/>
      </rPr>
      <t xml:space="preserve">円で出典が食い違う</t>
    </r>
  </si>
  <si>
    <t xml:space="preserve">robo-done.com</t>
  </si>
  <si>
    <t xml:space="preserve">クレファス</t>
  </si>
  <si>
    <t xml:space="preserve">コース別月謝、追加キット額、定員</t>
  </si>
  <si>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年総額が別サイト試算（年約</t>
    </r>
    <r>
      <rPr>
        <sz val="10"/>
        <color rgb="FF222222"/>
        <rFont val="Meiryo"/>
        <family val="0"/>
        <charset val="1"/>
      </rPr>
      <t xml:space="preserve">15</t>
    </r>
    <r>
      <rPr>
        <sz val="10"/>
        <color rgb="FF222222"/>
        <rFont val="WenQuanYi Zen Hei"/>
        <family val="2"/>
      </rPr>
      <t xml:space="preserve">万円）と大きく食い違う</t>
    </r>
  </si>
  <si>
    <r>
      <rPr>
        <sz val="10"/>
        <color rgb="FF222222"/>
        <rFont val="Meiryo"/>
        <family val="0"/>
        <charset val="1"/>
      </rPr>
      <t xml:space="preserve">crefus.jp</t>
    </r>
    <r>
      <rPr>
        <sz val="10"/>
        <color rgb="FF222222"/>
        <rFont val="WenQuanYi Zen Hei"/>
        <family val="2"/>
      </rPr>
      <t xml:space="preserve">／近隣教室</t>
    </r>
  </si>
  <si>
    <t xml:space="preserve">エジソンアカデミー</t>
  </si>
  <si>
    <r>
      <rPr>
        <sz val="10"/>
        <color rgb="FF222222"/>
        <rFont val="WenQuanYi Zen Hei"/>
        <family val="2"/>
      </rPr>
      <t xml:space="preserve">最新教室数、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年目教材費、講師募集条件</t>
    </r>
  </si>
  <si>
    <r>
      <rPr>
        <sz val="10"/>
        <color rgb="FF222222"/>
        <rFont val="WenQuanYi Zen Hei"/>
        <family val="2"/>
      </rPr>
      <t xml:space="preserve">教室数は</t>
    </r>
    <r>
      <rPr>
        <sz val="10"/>
        <color rgb="FF222222"/>
        <rFont val="Meiryo"/>
        <family val="0"/>
        <charset val="1"/>
      </rPr>
      <t xml:space="preserve">2021</t>
    </r>
    <r>
      <rPr>
        <sz val="10"/>
        <color rgb="FF222222"/>
        <rFont val="WenQuanYi Zen Hei"/>
        <family val="2"/>
      </rPr>
      <t xml:space="preserve">年頃の約</t>
    </r>
    <r>
      <rPr>
        <sz val="10"/>
        <color rgb="FF222222"/>
        <rFont val="Meiryo"/>
        <family val="0"/>
        <charset val="1"/>
      </rPr>
      <t xml:space="preserve">850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900</t>
    </r>
  </si>
  <si>
    <t xml:space="preserve">artec-kk.co.jp</t>
  </si>
  <si>
    <r>
      <rPr>
        <sz val="10"/>
        <color rgb="FF222222"/>
        <rFont val="Meiryo"/>
        <family val="0"/>
        <charset val="1"/>
      </rPr>
      <t xml:space="preserve">2026</t>
    </r>
    <r>
      <rPr>
        <sz val="10"/>
        <color rgb="FF222222"/>
        <rFont val="WenQuanYi Zen Hei"/>
        <family val="2"/>
      </rPr>
      <t xml:space="preserve">年時点の校数、保護者向けフィードバック制度</t>
    </r>
  </si>
  <si>
    <r>
      <rPr>
        <sz val="10"/>
        <color rgb="FF222222"/>
        <rFont val="Meiryo"/>
        <family val="0"/>
        <charset val="1"/>
      </rPr>
      <t xml:space="preserve">84</t>
    </r>
    <r>
      <rPr>
        <sz val="10"/>
        <color rgb="FF222222"/>
        <rFont val="WenQuanYi Zen Hei"/>
        <family val="2"/>
      </rPr>
      <t xml:space="preserve">校（</t>
    </r>
    <r>
      <rPr>
        <sz val="10"/>
        <color rgb="FF222222"/>
        <rFont val="Meiryo"/>
        <family val="0"/>
        <charset val="1"/>
      </rPr>
      <t xml:space="preserve">2024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9</t>
    </r>
    <r>
      <rPr>
        <sz val="10"/>
        <color rgb="FF222222"/>
        <rFont val="WenQuanYi Zen Hei"/>
        <family val="2"/>
      </rPr>
      <t xml:space="preserve">月）</t>
    </r>
  </si>
  <si>
    <t xml:space="preserve">proglab.education</t>
  </si>
  <si>
    <r>
      <rPr>
        <sz val="10"/>
        <color rgb="FF222222"/>
        <rFont val="WenQuanYi Zen Hei"/>
        <family val="2"/>
      </rPr>
      <t xml:space="preserve">最新教室数、対象学年の下限、クラス人数、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年目教材費</t>
    </r>
  </si>
  <si>
    <r>
      <rPr>
        <sz val="10"/>
        <color rgb="FF222222"/>
        <rFont val="WenQuanYi Zen Hei"/>
        <family val="2"/>
      </rPr>
      <t xml:space="preserve">約</t>
    </r>
    <r>
      <rPr>
        <sz val="10"/>
        <color rgb="FF222222"/>
        <rFont val="Meiryo"/>
        <family val="0"/>
        <charset val="1"/>
      </rPr>
      <t xml:space="preserve">100</t>
    </r>
    <r>
      <rPr>
        <sz val="10"/>
        <color rgb="FF222222"/>
        <rFont val="WenQuanYi Zen Hei"/>
        <family val="2"/>
      </rPr>
      <t xml:space="preserve">教室（古い）</t>
    </r>
  </si>
  <si>
    <t xml:space="preserve">tamiya-robotschool.com</t>
  </si>
  <si>
    <r>
      <rPr>
        <sz val="10"/>
        <color rgb="FF222222"/>
        <rFont val="WenQuanYi Zen Hei"/>
        <family val="2"/>
      </rPr>
      <t xml:space="preserve">入会金</t>
    </r>
    <r>
      <rPr>
        <sz val="10"/>
        <color rgb="FF222222"/>
        <rFont val="Meiryo"/>
        <family val="0"/>
        <charset val="1"/>
      </rPr>
      <t xml:space="preserve">16,500</t>
    </r>
    <r>
      <rPr>
        <sz val="10"/>
        <color rgb="FF222222"/>
        <rFont val="WenQuanYi Zen Hei"/>
        <family val="2"/>
      </rPr>
      <t xml:space="preserve">円、生徒数約</t>
    </r>
    <r>
      <rPr>
        <sz val="10"/>
        <color rgb="FF222222"/>
        <rFont val="Meiryo"/>
        <family val="0"/>
        <charset val="1"/>
      </rPr>
      <t xml:space="preserve">5,050</t>
    </r>
    <r>
      <rPr>
        <sz val="10"/>
        <color rgb="FF222222"/>
        <rFont val="WenQuanYi Zen Hei"/>
        <family val="2"/>
      </rPr>
      <t xml:space="preserve">名の時点</t>
    </r>
  </si>
  <si>
    <t xml:space="preserve">入会金は二次情報</t>
  </si>
  <si>
    <t xml:space="preserve">wonder.litalico.jp</t>
  </si>
  <si>
    <t xml:space="preserve">新規受付停止の開始時期・理由・再開予定</t>
  </si>
  <si>
    <t xml:space="preserve">公式に「受付停止」の記載</t>
  </si>
  <si>
    <t xml:space="preserve">techkidsschool.jp</t>
  </si>
  <si>
    <t xml:space="preserve">QUREO</t>
  </si>
  <si>
    <t xml:space="preserve">入会金・教室ごとの月謝、最新教室数と基準日、加盟条件</t>
  </si>
  <si>
    <r>
      <rPr>
        <sz val="10"/>
        <color rgb="FF222222"/>
        <rFont val="WenQuanYi Zen Hei"/>
        <family val="2"/>
      </rPr>
      <t xml:space="preserve">入会金不明（</t>
    </r>
    <r>
      <rPr>
        <sz val="10"/>
        <color rgb="FF222222"/>
        <rFont val="Meiryo"/>
        <family val="0"/>
        <charset val="1"/>
      </rPr>
      <t xml:space="preserve">0</t>
    </r>
    <r>
      <rPr>
        <sz val="10"/>
        <color rgb="FF222222"/>
        <rFont val="WenQuanYi Zen Hei"/>
        <family val="2"/>
      </rPr>
      <t xml:space="preserve">円で試算）</t>
    </r>
  </si>
  <si>
    <r>
      <rPr>
        <sz val="10"/>
        <color rgb="FF222222"/>
        <rFont val="Meiryo"/>
        <family val="0"/>
        <charset val="1"/>
      </rPr>
      <t xml:space="preserve">qureo.jp</t>
    </r>
    <r>
      <rPr>
        <sz val="10"/>
        <color rgb="FF222222"/>
        <rFont val="WenQuanYi Zen Hei"/>
        <family val="2"/>
      </rPr>
      <t xml:space="preserve">／近隣加盟塾</t>
    </r>
  </si>
  <si>
    <r>
      <rPr>
        <sz val="10"/>
        <color rgb="FF222222"/>
        <rFont val="Meiryo"/>
        <family val="0"/>
        <charset val="1"/>
      </rPr>
      <t xml:space="preserve">Z</t>
    </r>
    <r>
      <rPr>
        <sz val="10"/>
        <color rgb="FF222222"/>
        <rFont val="WenQuanYi Zen Hei"/>
        <family val="2"/>
      </rPr>
      <t xml:space="preserve">会</t>
    </r>
  </si>
  <si>
    <r>
      <rPr>
        <sz val="10"/>
        <color rgb="FF222222"/>
        <rFont val="WenQuanYi Zen Hei"/>
        <family val="2"/>
      </rPr>
      <t xml:space="preserve">みらい講座の新料金（</t>
    </r>
    <r>
      <rPr>
        <sz val="10"/>
        <color rgb="FF222222"/>
        <rFont val="Meiryo"/>
        <family val="0"/>
        <charset val="1"/>
      </rPr>
      <t xml:space="preserve">6,200</t>
    </r>
    <r>
      <rPr>
        <sz val="10"/>
        <color rgb="FF222222"/>
        <rFont val="WenQuanYi Zen Hei"/>
        <family val="2"/>
      </rPr>
      <t xml:space="preserve">円の内訳）、ステージ</t>
    </r>
    <r>
      <rPr>
        <sz val="10"/>
        <color rgb="FF222222"/>
        <rFont val="Meiryo"/>
        <family val="0"/>
        <charset val="1"/>
      </rPr>
      <t xml:space="preserve">2</t>
    </r>
    <r>
      <rPr>
        <sz val="10"/>
        <color rgb="FF222222"/>
        <rFont val="WenQuanYi Zen Hei"/>
        <family val="2"/>
      </rPr>
      <t xml:space="preserve">・</t>
    </r>
    <r>
      <rPr>
        <sz val="10"/>
        <color rgb="FF222222"/>
        <rFont val="Meiryo"/>
        <family val="0"/>
        <charset val="1"/>
      </rPr>
      <t xml:space="preserve">3</t>
    </r>
    <r>
      <rPr>
        <sz val="10"/>
        <color rgb="FF222222"/>
        <rFont val="WenQuanYi Zen Hei"/>
        <family val="2"/>
      </rPr>
      <t xml:space="preserve">の額</t>
    </r>
  </si>
  <si>
    <t xml:space="preserve">新旧で表記が異なる</t>
  </si>
  <si>
    <t xml:space="preserve">zkai.co.jp</t>
  </si>
  <si>
    <t xml:space="preserve">デジタネ</t>
  </si>
  <si>
    <t xml:space="preserve">対象年齢、提携教室数、講師体制</t>
  </si>
  <si>
    <t xml:space="preserve">digitane.jp</t>
  </si>
  <si>
    <t xml:space="preserve">教材費、月の回数、定員、振替</t>
  </si>
  <si>
    <t xml:space="preserve">codecampkids.jp</t>
  </si>
  <si>
    <t xml:space="preserve">全社</t>
  </si>
  <si>
    <r>
      <rPr>
        <sz val="10"/>
        <color rgb="FF222222"/>
        <rFont val="WenQuanYi Zen Hei"/>
        <family val="2"/>
      </rPr>
      <t xml:space="preserve">講師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人あたり生徒数の公式値、口コミ評価点（コエテコ・塾ナビ）の最新値</t>
    </r>
  </si>
  <si>
    <t xml:space="preserve">一部のみ取得</t>
  </si>
  <si>
    <t xml:space="preserve">各社サイト・口コミサイト</t>
  </si>
  <si>
    <t xml:space="preserve">株式会社ナリカ（参考：教材サプライヤー）</t>
  </si>
  <si>
    <r>
      <rPr>
        <sz val="9"/>
        <color rgb="FF666666"/>
        <rFont val="WenQuanYi Zen Hei"/>
        <family val="2"/>
      </rPr>
      <t xml:space="preserve">子ども向け教室の運営事業者ではない（運営・提携スクールの事実は確認できず）。学校向け理科・プログラミング教材の製造販売会社で、</t>
    </r>
    <r>
      <rPr>
        <sz val="9"/>
        <color rgb="FF666666"/>
        <rFont val="Meiryo"/>
        <family val="0"/>
        <charset val="1"/>
      </rPr>
      <t xml:space="preserve">STEAM</t>
    </r>
    <r>
      <rPr>
        <sz val="9"/>
        <color rgb="FF666666"/>
        <rFont val="WenQuanYi Zen Hei"/>
        <family val="2"/>
      </rPr>
      <t xml:space="preserve">スクールにとっては「教材の仕入れ先」。</t>
    </r>
  </si>
  <si>
    <t xml:space="preserve">項目</t>
  </si>
  <si>
    <t xml:space="preserve">内容</t>
  </si>
  <si>
    <t xml:space="preserve">会社概要</t>
  </si>
  <si>
    <r>
      <rPr>
        <sz val="10"/>
        <color rgb="FF222222"/>
        <rFont val="Meiryo"/>
        <family val="0"/>
        <charset val="1"/>
      </rPr>
      <t xml:space="preserve">1918</t>
    </r>
    <r>
      <rPr>
        <sz val="10"/>
        <color rgb="FF222222"/>
        <rFont val="WenQuanYi Zen Hei"/>
        <family val="2"/>
      </rPr>
      <t xml:space="preserve">年創業（中村理科機器店）、</t>
    </r>
    <r>
      <rPr>
        <sz val="10"/>
        <color rgb="FF222222"/>
        <rFont val="Meiryo"/>
        <family val="0"/>
        <charset val="1"/>
      </rPr>
      <t xml:space="preserve">2008</t>
    </r>
    <r>
      <rPr>
        <sz val="10"/>
        <color rgb="FF222222"/>
        <rFont val="WenQuanYi Zen Hei"/>
        <family val="2"/>
      </rPr>
      <t xml:space="preserve">年に「ナリカ」へ社名変更。本社：東京都千代田区外神田。従業員</t>
    </r>
    <r>
      <rPr>
        <sz val="10"/>
        <color rgb="FF222222"/>
        <rFont val="Meiryo"/>
        <family val="0"/>
        <charset val="1"/>
      </rPr>
      <t xml:space="preserve">88</t>
    </r>
    <r>
      <rPr>
        <sz val="10"/>
        <color rgb="FF222222"/>
        <rFont val="WenQuanYi Zen Hei"/>
        <family val="2"/>
      </rPr>
      <t xml:space="preserve">名（</t>
    </r>
    <r>
      <rPr>
        <sz val="10"/>
        <color rgb="FF222222"/>
        <rFont val="Meiryo"/>
        <family val="0"/>
        <charset val="1"/>
      </rPr>
      <t xml:space="preserve">2025</t>
    </r>
    <r>
      <rPr>
        <sz val="10"/>
        <color rgb="FF222222"/>
        <rFont val="WenQuanYi Zen Hei"/>
        <family val="2"/>
      </rPr>
      <t xml:space="preserve">年</t>
    </r>
    <r>
      <rPr>
        <sz val="10"/>
        <color rgb="FF222222"/>
        <rFont val="Meiryo"/>
        <family val="0"/>
        <charset val="1"/>
      </rPr>
      <t xml:space="preserve">5</t>
    </r>
    <r>
      <rPr>
        <sz val="10"/>
        <color rgb="FF222222"/>
        <rFont val="WenQuanYi Zen Hei"/>
        <family val="2"/>
      </rPr>
      <t xml:space="preserve">月）</t>
    </r>
  </si>
  <si>
    <t xml:space="preserve">事業</t>
  </si>
  <si>
    <r>
      <rPr>
        <sz val="10"/>
        <color rgb="FF222222"/>
        <rFont val="WenQuanYi Zen Hei"/>
        <family val="2"/>
      </rPr>
      <t xml:space="preserve">小中高・大学向け理科教材・実験機器の企画・製造・販売（理科ドットコム </t>
    </r>
    <r>
      <rPr>
        <sz val="10"/>
        <color rgb="FF222222"/>
        <rFont val="Meiryo"/>
        <family val="0"/>
        <charset val="1"/>
      </rPr>
      <t xml:space="preserve">rika.com</t>
    </r>
    <r>
      <rPr>
        <sz val="10"/>
        <color rgb="FF222222"/>
        <rFont val="WenQuanYi Zen Hei"/>
        <family val="2"/>
      </rPr>
      <t xml:space="preserve">）、</t>
    </r>
    <r>
      <rPr>
        <sz val="10"/>
        <color rgb="FF222222"/>
        <rFont val="Meiryo"/>
        <family val="0"/>
        <charset val="1"/>
      </rPr>
      <t xml:space="preserve">EC</t>
    </r>
    <r>
      <rPr>
        <sz val="10"/>
        <color rgb="FF222222"/>
        <rFont val="WenQuanYi Zen Hei"/>
        <family val="2"/>
      </rPr>
      <t xml:space="preserve">「</t>
    </r>
    <r>
      <rPr>
        <sz val="10"/>
        <color rgb="FF222222"/>
        <rFont val="Meiryo"/>
        <family val="0"/>
        <charset val="1"/>
      </rPr>
      <t xml:space="preserve">scibox</t>
    </r>
    <r>
      <rPr>
        <sz val="10"/>
        <color rgb="FF222222"/>
        <rFont val="WenQuanYi Zen Hei"/>
        <family val="2"/>
      </rPr>
      <t xml:space="preserve">」</t>
    </r>
  </si>
  <si>
    <t xml:space="preserve">プログラミング教材</t>
  </si>
  <si>
    <r>
      <rPr>
        <sz val="10"/>
        <color rgb="FF222222"/>
        <rFont val="Meiryo"/>
        <family val="0"/>
        <charset val="1"/>
      </rPr>
      <t xml:space="preserve">LEGO Education </t>
    </r>
    <r>
      <rPr>
        <sz val="10"/>
        <color rgb="FF222222"/>
        <rFont val="WenQuanYi Zen Hei"/>
        <family val="2"/>
      </rPr>
      <t xml:space="preserve">正規販売代理店（</t>
    </r>
    <r>
      <rPr>
        <sz val="10"/>
        <color rgb="FF222222"/>
        <rFont val="Meiryo"/>
        <family val="0"/>
        <charset val="1"/>
      </rPr>
      <t xml:space="preserve">SPIKE </t>
    </r>
    <r>
      <rPr>
        <sz val="10"/>
        <color rgb="FF222222"/>
        <rFont val="WenQuanYi Zen Hei"/>
        <family val="2"/>
      </rPr>
      <t xml:space="preserve">プライム／ベーシック等）、</t>
    </r>
    <r>
      <rPr>
        <sz val="10"/>
        <color rgb="FF222222"/>
        <rFont val="Meiryo"/>
        <family val="0"/>
        <charset val="1"/>
      </rPr>
      <t xml:space="preserve">micro:bit</t>
    </r>
    <r>
      <rPr>
        <sz val="10"/>
        <color rgb="FF222222"/>
        <rFont val="WenQuanYi Zen Hei"/>
        <family val="2"/>
      </rPr>
      <t xml:space="preserve">シリーズ、小</t>
    </r>
    <r>
      <rPr>
        <sz val="10"/>
        <color rgb="FF222222"/>
        <rFont val="Meiryo"/>
        <family val="0"/>
        <charset val="1"/>
      </rPr>
      <t xml:space="preserve">6</t>
    </r>
    <r>
      <rPr>
        <sz val="10"/>
        <color rgb="FF222222"/>
        <rFont val="WenQuanYi Zen Hei"/>
        <family val="2"/>
      </rPr>
      <t xml:space="preserve">理科「電気の利用」向けセット</t>
    </r>
  </si>
  <si>
    <t xml:space="preserve">教員向け研修</t>
  </si>
  <si>
    <r>
      <rPr>
        <sz val="10"/>
        <color rgb="FF222222"/>
        <rFont val="WenQuanYi Zen Hei"/>
        <family val="2"/>
      </rPr>
      <t xml:space="preserve">ナリカサイエンスアカデミー（</t>
    </r>
    <r>
      <rPr>
        <sz val="10"/>
        <color rgb="FF222222"/>
        <rFont val="Meiryo"/>
        <family val="0"/>
        <charset val="1"/>
      </rPr>
      <t xml:space="preserve">NSA</t>
    </r>
    <r>
      <rPr>
        <sz val="10"/>
        <color rgb="FF222222"/>
        <rFont val="WenQuanYi Zen Hei"/>
        <family val="2"/>
      </rPr>
      <t xml:space="preserve">）：教員向け理科実験実技講習。受講料 教員</t>
    </r>
    <r>
      <rPr>
        <sz val="10"/>
        <color rgb="FF222222"/>
        <rFont val="Meiryo"/>
        <family val="0"/>
        <charset val="1"/>
      </rPr>
      <t xml:space="preserve">2,000</t>
    </r>
    <r>
      <rPr>
        <sz val="10"/>
        <color rgb="FF222222"/>
        <rFont val="WenQuanYi Zen Hei"/>
        <family val="2"/>
      </rPr>
      <t xml:space="preserve">円／学生</t>
    </r>
    <r>
      <rPr>
        <sz val="10"/>
        <color rgb="FF222222"/>
        <rFont val="Meiryo"/>
        <family val="0"/>
        <charset val="1"/>
      </rPr>
      <t xml:space="preserve">1,000</t>
    </r>
    <r>
      <rPr>
        <sz val="10"/>
        <color rgb="FF222222"/>
        <rFont val="WenQuanYi Zen Hei"/>
        <family val="2"/>
      </rPr>
      <t xml:space="preserve">円（</t>
    </r>
    <r>
      <rPr>
        <sz val="10"/>
        <color rgb="FF222222"/>
        <rFont val="Meiryo"/>
        <family val="0"/>
        <charset val="1"/>
      </rPr>
      <t xml:space="preserve">1</t>
    </r>
    <r>
      <rPr>
        <sz val="10"/>
        <color rgb="FF222222"/>
        <rFont val="WenQuanYi Zen Hei"/>
        <family val="2"/>
      </rPr>
      <t xml:space="preserve">講座）</t>
    </r>
  </si>
  <si>
    <t xml:space="preserve">価格帯（参考）</t>
  </si>
  <si>
    <r>
      <rPr>
        <sz val="10"/>
        <color rgb="FF222222"/>
        <rFont val="Meiryo"/>
        <family val="0"/>
        <charset val="1"/>
      </rPr>
      <t xml:space="preserve">SPIKE </t>
    </r>
    <r>
      <rPr>
        <sz val="10"/>
        <color rgb="FF222222"/>
        <rFont val="WenQuanYi Zen Hei"/>
        <family val="2"/>
      </rPr>
      <t xml:space="preserve">プライム基本セット 約</t>
    </r>
    <r>
      <rPr>
        <sz val="10"/>
        <color rgb="FF222222"/>
        <rFont val="Meiryo"/>
        <family val="0"/>
        <charset val="1"/>
      </rPr>
      <t xml:space="preserve">68,000</t>
    </r>
    <r>
      <rPr>
        <sz val="10"/>
        <color rgb="FF222222"/>
        <rFont val="WenQuanYi Zen Hei"/>
        <family val="2"/>
      </rPr>
      <t xml:space="preserve">〜</t>
    </r>
    <r>
      <rPr>
        <sz val="10"/>
        <color rgb="FF222222"/>
        <rFont val="Meiryo"/>
        <family val="0"/>
        <charset val="1"/>
      </rPr>
      <t xml:space="preserve">75,000</t>
    </r>
    <r>
      <rPr>
        <sz val="10"/>
        <color rgb="FF222222"/>
        <rFont val="WenQuanYi Zen Hei"/>
        <family val="2"/>
      </rPr>
      <t xml:space="preserve">円（他販売店）。ナリカの価格は未確認</t>
    </r>
  </si>
  <si>
    <t xml:space="preserve">ステモンとの関係</t>
  </si>
  <si>
    <r>
      <rPr>
        <sz val="10"/>
        <color rgb="FF222222"/>
        <rFont val="WenQuanYi Zen Hei"/>
        <family val="2"/>
      </rPr>
      <t xml:space="preserve">競合ではなく、①理科実験・</t>
    </r>
    <r>
      <rPr>
        <sz val="10"/>
        <color rgb="FF222222"/>
        <rFont val="Meiryo"/>
        <family val="0"/>
        <charset val="1"/>
      </rPr>
      <t xml:space="preserve">LEGO/micro:bit</t>
    </r>
    <r>
      <rPr>
        <sz val="10"/>
        <color rgb="FF222222"/>
        <rFont val="WenQuanYi Zen Hei"/>
        <family val="2"/>
      </rPr>
      <t xml:space="preserve">教材の調達先、②教員研修ノウハウ・講師人材との接点、③学校向け販路（公教育連携）のパートナー候補</t>
    </r>
  </si>
  <si>
    <t xml:space="preserve">その他 注視すべき教室</t>
  </si>
  <si>
    <t xml:space="preserve">名称</t>
  </si>
  <si>
    <t xml:space="preserve">概要</t>
  </si>
  <si>
    <t xml:space="preserve">URL</t>
  </si>
  <si>
    <r>
      <rPr>
        <sz val="10"/>
        <color rgb="FF222222"/>
        <rFont val="Meiryo"/>
        <family val="0"/>
        <charset val="1"/>
      </rPr>
      <t xml:space="preserve">KOOV</t>
    </r>
    <r>
      <rPr>
        <sz val="10"/>
        <color rgb="FF222222"/>
        <rFont val="WenQuanYi Zen Hei"/>
        <family val="2"/>
      </rPr>
      <t xml:space="preserve">パートナー教室（ソニー・グローバルエデュケーション）</t>
    </r>
  </si>
  <si>
    <r>
      <rPr>
        <sz val="10"/>
        <color rgb="FF222222"/>
        <rFont val="Meiryo"/>
        <family val="0"/>
        <charset val="1"/>
      </rPr>
      <t xml:space="preserve">KOOV</t>
    </r>
    <r>
      <rPr>
        <sz val="10"/>
        <color rgb="FF222222"/>
        <rFont val="WenQuanYi Zen Hei"/>
        <family val="2"/>
      </rPr>
      <t xml:space="preserve">を使うライセンス型の教室網。全国</t>
    </r>
    <r>
      <rPr>
        <sz val="10"/>
        <color rgb="FF222222"/>
        <rFont val="Meiryo"/>
        <family val="0"/>
        <charset val="1"/>
      </rPr>
      <t xml:space="preserve">1,000</t>
    </r>
    <r>
      <rPr>
        <sz val="10"/>
        <color rgb="FF222222"/>
        <rFont val="WenQuanYi Zen Hei"/>
        <family val="2"/>
      </rPr>
      <t xml:space="preserve">教室以上との記載（要確認）</t>
    </r>
  </si>
  <si>
    <t xml:space="preserve">https://www.koov.io/</t>
  </si>
  <si>
    <r>
      <rPr>
        <sz val="10"/>
        <color rgb="FF222222"/>
        <rFont val="WenQuanYi Zen Hei"/>
        <family val="2"/>
      </rPr>
      <t xml:space="preserve">もののしくみ研究室／しくみ</t>
    </r>
    <r>
      <rPr>
        <sz val="10"/>
        <color rgb="FF222222"/>
        <rFont val="Meiryo"/>
        <family val="0"/>
        <charset val="1"/>
      </rPr>
      <t xml:space="preserve">Kids</t>
    </r>
    <r>
      <rPr>
        <sz val="10"/>
        <color rgb="FF222222"/>
        <rFont val="WenQuanYi Zen Hei"/>
        <family val="2"/>
      </rPr>
      <t xml:space="preserve">（学研）</t>
    </r>
  </si>
  <si>
    <t xml:space="preserve">学研のロボットプログラミング講座。加盟教室型</t>
  </si>
  <si>
    <t xml:space="preserve">https://robot.gakken.jp/school</t>
  </si>
  <si>
    <t xml:space="preserve">出典一覧</t>
  </si>
  <si>
    <r>
      <rPr>
        <sz val="9"/>
        <color rgb="FF666666"/>
        <rFont val="WenQuanYi Zen Hei"/>
        <family val="2"/>
      </rPr>
      <t xml:space="preserve">確認日：</t>
    </r>
    <r>
      <rPr>
        <sz val="9"/>
        <color rgb="FF666666"/>
        <rFont val="Meiryo"/>
        <family val="0"/>
        <charset val="1"/>
      </rPr>
      <t xml:space="preserve">2026-09-28</t>
    </r>
    <r>
      <rPr>
        <sz val="9"/>
        <color rgb="FF666666"/>
        <rFont val="WenQuanYi Zen Hei"/>
        <family val="2"/>
      </rPr>
      <t xml:space="preserve">（すべて検索結果の要約で確認。本文の直接閲覧は未実施）</t>
    </r>
  </si>
  <si>
    <t xml:space="preserve">https://www.stemon.net/cources-prices/</t>
  </si>
  <si>
    <t xml:space="preserve">https://www.dreamnews.jp/press/0000342672</t>
  </si>
  <si>
    <t xml:space="preserve">https://coeteco.jp/brand/stemon</t>
  </si>
  <si>
    <t xml:space="preserve">https://juken.oricon.co.jp/rank-kids-programming/company/stemon/</t>
  </si>
  <si>
    <t xml:space="preserve">https://en-gage.net/viling/work_6029651/</t>
  </si>
  <si>
    <t xml:space="preserve">https://steamcampus.jp/</t>
  </si>
  <si>
    <t xml:space="preserve">https://www.learningsystems.co.jp/steam_campus_fc.html</t>
  </si>
  <si>
    <t xml:space="preserve">https://manabikids.jp/lego-gessha/</t>
  </si>
  <si>
    <t xml:space="preserve">https://coeteco.jp/brand/legoschool</t>
  </si>
  <si>
    <t xml:space="preserve">https://kids.athuman.com/robo/</t>
  </si>
  <si>
    <t xml:space="preserve">https://kids.athuman.com/fc/lp02/</t>
  </si>
  <si>
    <t xml:space="preserve">https://kodomoprogramming.net/humanacademy-price/</t>
  </si>
  <si>
    <t xml:space="preserve">https://coeteco.jp/brand/human-robot</t>
  </si>
  <si>
    <t xml:space="preserve">https://media.robo-done.com/programming-school/post-701/</t>
  </si>
  <si>
    <t xml:space="preserve">https://daivoy.com/robo-done-fee/</t>
  </si>
  <si>
    <t xml:space="preserve">https://coeteco.jp/brand/robo-done</t>
  </si>
  <si>
    <t xml:space="preserve">https://prtimes.jp/main/html/rd/p/000000036.000006566.html</t>
  </si>
  <si>
    <t xml:space="preserve">https://crefus.com/company/</t>
  </si>
  <si>
    <t xml:space="preserve">https://crefus.jp/fll/</t>
  </si>
  <si>
    <t xml:space="preserve">https://techgym.jp/column/crefus-hyoban/</t>
  </si>
  <si>
    <t xml:space="preserve">https://jukunavi.com/job/crefus/futakotamagawa/</t>
  </si>
  <si>
    <t xml:space="preserve">https://www.artec-kk.co.jp/school/edison/</t>
  </si>
  <si>
    <t xml:space="preserve">https://edisonacademy.jp/</t>
  </si>
  <si>
    <t xml:space="preserve">https://daivoy.com/artec-edison-fee/</t>
  </si>
  <si>
    <t xml:space="preserve">https://coeteco.jp/brand/edisonacademy</t>
  </si>
  <si>
    <t xml:space="preserve">https://www.proglab.education/</t>
  </si>
  <si>
    <t xml:space="preserve">https://www.hankyu-hanshin.co.jp/release/docs/aa89307f2d664c25f107f0d6838016ddbee47ee4.pdf</t>
  </si>
  <si>
    <t xml:space="preserve">https://coeteco.jp/brand/proglab</t>
  </si>
  <si>
    <t xml:space="preserve">https://www.proglab.education/recruit/</t>
  </si>
  <si>
    <t xml:space="preserve">https://tamiya-robotschool.com/</t>
  </si>
  <si>
    <t xml:space="preserve">https://daivoy.com/tamiya-robot-fee/</t>
  </si>
  <si>
    <t xml:space="preserve">https://play-program.com/tamiya/</t>
  </si>
  <si>
    <t xml:space="preserve">https://wonder.litalico.jp/faq/qa_category_4/</t>
  </si>
  <si>
    <t xml:space="preserve">https://coeteco.jp/brand/litalico-wonder</t>
  </si>
  <si>
    <t xml:space="preserve">https://job-ole.com/recruit/litalico/jobs/13787511</t>
  </si>
  <si>
    <t xml:space="preserve">https://techkidsschool.jp/school/</t>
  </si>
  <si>
    <t xml:space="preserve">https://techkidsschool.jp/faq/qa_list/</t>
  </si>
  <si>
    <t xml:space="preserve">https://www.cyberagent.co.jp/news/detail/id=33354</t>
  </si>
  <si>
    <t xml:space="preserve">https://qureo.jp/</t>
  </si>
  <si>
    <t xml:space="preserve">https://qureo.jp/class/faq</t>
  </si>
  <si>
    <t xml:space="preserve">https://www.cyberagent.co.jp/news/detail/id=30040</t>
  </si>
  <si>
    <t xml:space="preserve">https://www.morijuku.com/column/53/</t>
  </si>
  <si>
    <t xml:space="preserve">https://www.zkai.co.jp/z-programming/</t>
  </si>
  <si>
    <t xml:space="preserve">https://www.zkai.co.jp/z-programming/mirai/price/</t>
  </si>
  <si>
    <t xml:space="preserve">https://prtimes.jp/main/html/rd/p/000001016.000049291.html</t>
  </si>
  <si>
    <t xml:space="preserve">https://digitane.jp/online/pricing/</t>
  </si>
  <si>
    <t xml:space="preserve">https://www.educationaldesign.jp/2023/02/21/2892/</t>
  </si>
  <si>
    <t xml:space="preserve">https://coeteco.jp/brand/d-school_online</t>
  </si>
  <si>
    <t xml:space="preserve">https://codecampkids.jp/</t>
  </si>
  <si>
    <t xml:space="preserve">https://coeteco.jp/brand/codecampkids</t>
  </si>
  <si>
    <t xml:space="preserve">https://baitonet.jp/job_2021062/</t>
  </si>
  <si>
    <t xml:space="preserve">https://narika.jp/company/</t>
  </si>
  <si>
    <t xml:space="preserve">https://www.rika.com/lego</t>
  </si>
  <si>
    <t xml:space="preserve">https://www.rika.com/programming</t>
  </si>
  <si>
    <t xml:space="preserve">https://www.rika.com/nsa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</si>
</sst>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\(#,##0\);\-"/>
    <numFmt numFmtId="167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Meiryo"/>
      <family val="0"/>
      <charset val="1"/>
    </font>
    <font>
      <b val="true"/>
      <sz val="16"/>
      <color rgb="FF1F2A44"/>
      <name val="WenQuanYi Zen Hei"/>
      <family val="2"/>
    </font>
    <font>
      <b val="true"/>
      <sz val="10"/>
      <color rgb="FF1F2A44"/>
      <name val="WenQuanYi Zen Hei"/>
      <family val="2"/>
    </font>
    <font>
      <sz val="10"/>
      <color rgb="FF222222"/>
      <name val="WenQuanYi Zen Hei"/>
      <family val="2"/>
    </font>
    <font>
      <sz val="10"/>
      <color rgb="FF222222"/>
      <name val="Meiryo"/>
      <family val="0"/>
      <charset val="1"/>
    </font>
    <font>
      <b val="true"/>
      <sz val="10"/>
      <color rgb="FFB00020"/>
      <name val="WenQuanYi Zen Hei"/>
      <family val="2"/>
    </font>
    <font>
      <b val="true"/>
      <sz val="14"/>
      <color rgb="FF1F2A44"/>
      <name val="WenQuanYi Zen Hei"/>
      <family val="2"/>
    </font>
    <font>
      <sz val="9"/>
      <color rgb="FF666666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"/>
      <family val="0"/>
      <charset val="1"/>
    </font>
    <font>
      <b val="true"/>
      <sz val="10"/>
      <color rgb="FF222222"/>
      <name val="WenQuanYi Zen Hei"/>
      <family val="2"/>
    </font>
    <font>
      <b val="true"/>
      <sz val="10"/>
      <color rgb="FF008000"/>
      <name val="Meiryo"/>
      <family val="0"/>
      <charset val="1"/>
    </font>
    <font>
      <b val="true"/>
      <sz val="10"/>
      <color rgb="FF222222"/>
      <name val="Meiryo"/>
      <family val="0"/>
      <charset val="1"/>
    </font>
    <font>
      <sz val="10"/>
      <color rgb="FF008000"/>
      <name val="Meiryo"/>
      <family val="0"/>
      <charset val="1"/>
    </font>
    <font>
      <b val="true"/>
      <sz val="10"/>
      <color rgb="FFE08A00"/>
      <name val="WenQuanYi Zen Hei"/>
      <family val="2"/>
    </font>
    <font>
      <b val="true"/>
      <sz val="10"/>
      <color rgb="FFC62828"/>
      <name val="WenQuanYi Zen Hei"/>
      <family val="2"/>
    </font>
    <font>
      <b val="true"/>
      <sz val="10"/>
      <color rgb="FF2E7D32"/>
      <name val="WenQuanYi Zen Hei"/>
      <family val="2"/>
    </font>
    <font>
      <b val="true"/>
      <sz val="14"/>
      <color rgb="FF1F2A44"/>
      <name val="Meiryo"/>
      <family val="0"/>
      <charset val="1"/>
    </font>
    <font>
      <sz val="10"/>
      <color rgb="FF0000FF"/>
      <name val="Meiryo"/>
      <family val="0"/>
      <charset val="1"/>
    </font>
    <font>
      <sz val="9"/>
      <color rgb="FF555555"/>
      <name val="WenQuanYi Zen Hei"/>
      <family val="2"/>
    </font>
    <font>
      <sz val="9"/>
      <color rgb="FF555555"/>
      <name val="Meiryo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sz val="9"/>
      <color rgb="FF666666"/>
      <name val="Meiryo"/>
      <family val="0"/>
      <charset val="1"/>
    </font>
    <font>
      <b val="true"/>
      <sz val="10"/>
      <color rgb="FF1F2A44"/>
      <name val="Meiryo"/>
      <family val="0"/>
      <charset val="1"/>
    </font>
    <font>
      <b val="true"/>
      <sz val="12"/>
      <color rgb="FF1F2A44"/>
      <name val="WenQuanYi Zen Hei"/>
      <family val="2"/>
    </font>
    <font>
      <u val="single"/>
      <sz val="10"/>
      <color rgb="FF1155CC"/>
      <name val="Meiryo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FFF4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4CC"/>
      <rgbColor rgb="FFF9F9F9"/>
      <rgbColor rgb="FF660066"/>
      <rgbColor rgb="FFFF8080"/>
      <rgbColor rgb="FF1155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8A00"/>
      <rgbColor rgb="FFFF6600"/>
      <rgbColor rgb="FF666666"/>
      <rgbColor rgb="FF969696"/>
      <rgbColor rgb="FF003366"/>
      <rgbColor rgb="FF2E7D32"/>
      <rgbColor rgb="FF003300"/>
      <rgbColor rgb="FF222222"/>
      <rgbColor rgb="FFC62828"/>
      <rgbColor rgb="FF993366"/>
      <rgbColor rgb="FF555555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3年継続の総額（試算、円）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料金比較!M4</c:f>
              <c:strCache>
                <c:ptCount val="1"/>
                <c:pt idx="0">
                  <c:v>3年継続
総額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料金比較!$B$5:$B$18</c:f>
              <c:strCache>
                <c:ptCount val="14"/>
                <c:pt idx="0">
                  <c:v>ステモン（自社）</c:v>
                </c:pt>
                <c:pt idx="1">
                  <c:v>STEAM Campus（旧レゴスクール）</c:v>
                </c:pt>
                <c:pt idx="2">
                  <c:v>ヒューマンアカデミー ロボット教室</c:v>
                </c:pt>
                <c:pt idx="3">
                  <c:v>ロボ団</c:v>
                </c:pt>
                <c:pt idx="4">
                  <c:v>クレファス（Crefus）</c:v>
                </c:pt>
                <c:pt idx="5">
                  <c:v>アーテック エジソンアカデミー</c:v>
                </c:pt>
                <c:pt idx="6">
                  <c:v>プログラボ</c:v>
                </c:pt>
                <c:pt idx="7">
                  <c:v>タミヤロボットスクール</c:v>
                </c:pt>
                <c:pt idx="8">
                  <c:v>LITALICOワンダー</c:v>
                </c:pt>
                <c:pt idx="9">
                  <c:v>Tech Kids School</c:v>
                </c:pt>
                <c:pt idx="10">
                  <c:v>QUREOプログラミング教室</c:v>
                </c:pt>
                <c:pt idx="11">
                  <c:v>Z会プログラミング講座</c:v>
                </c:pt>
                <c:pt idx="12">
                  <c:v>デジタネ（旧D-SCHOOLオンライン）</c:v>
                </c:pt>
                <c:pt idx="13">
                  <c:v>CodeCampKIDS</c:v>
                </c:pt>
              </c:strCache>
            </c:strRef>
          </c:cat>
          <c:val>
            <c:numRef>
              <c:f>料金比較!$M$5:$M$18</c:f>
              <c:numCache>
                <c:formatCode>#,##0</c:formatCode>
                <c:ptCount val="14"/>
                <c:pt idx="0">
                  <c:v>464860</c:v>
                </c:pt>
                <c:pt idx="1">
                  <c:v>514900</c:v>
                </c:pt>
                <c:pt idx="2">
                  <c:v>479800</c:v>
                </c:pt>
                <c:pt idx="3">
                  <c:v>470000</c:v>
                </c:pt>
                <c:pt idx="4">
                  <c:v>761475</c:v>
                </c:pt>
                <c:pt idx="5">
                  <c:v>447000</c:v>
                </c:pt>
                <c:pt idx="6">
                  <c:v>484440</c:v>
                </c:pt>
                <c:pt idx="7">
                  <c:v>314150</c:v>
                </c:pt>
                <c:pt idx="8">
                  <c:v>1085700</c:v>
                </c:pt>
                <c:pt idx="9">
                  <c:v>914760</c:v>
                </c:pt>
                <c:pt idx="10">
                  <c:v>356400</c:v>
                </c:pt>
                <c:pt idx="11">
                  <c:v>230400</c:v>
                </c:pt>
                <c:pt idx="12">
                  <c:v>179280</c:v>
                </c:pt>
                <c:pt idx="13">
                  <c:v>539000</c:v>
                </c:pt>
              </c:numCache>
            </c:numRef>
          </c:val>
        </c:ser>
        <c:gapWidth val="150"/>
        <c:overlap val="0"/>
        <c:axId val="17110961"/>
        <c:axId val="78971122"/>
      </c:barChart>
      <c:catAx>
        <c:axId val="171109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71122"/>
        <c:crosses val="autoZero"/>
        <c:auto val="1"/>
        <c:lblAlgn val="ctr"/>
        <c:lblOffset val="100"/>
        <c:noMultiLvlLbl val="0"/>
      </c:catAx>
      <c:valAx>
        <c:axId val="7897112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109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25</xdr:row>
      <xdr:rowOff>134640</xdr:rowOff>
    </xdr:from>
    <xdr:to>
      <xdr:col>6</xdr:col>
      <xdr:colOff>443160</xdr:colOff>
      <xdr:row>46</xdr:row>
      <xdr:rowOff>93600</xdr:rowOff>
    </xdr:to>
    <xdr:graphicFrame>
      <xdr:nvGraphicFramePr>
        <xdr:cNvPr id="0" name="Chart 1"/>
        <xdr:cNvGraphicFramePr/>
      </xdr:nvGraphicFramePr>
      <xdr:xfrm>
        <a:off x="3111480" y="1276344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stemon.net/cources-prices/" TargetMode="External"/><Relationship Id="rId2" Type="http://schemas.openxmlformats.org/officeDocument/2006/relationships/hyperlink" Target="https://www.dreamnews.jp/press/0000342672" TargetMode="External"/><Relationship Id="rId3" Type="http://schemas.openxmlformats.org/officeDocument/2006/relationships/hyperlink" Target="https://coeteco.jp/brand/stemon" TargetMode="External"/><Relationship Id="rId4" Type="http://schemas.openxmlformats.org/officeDocument/2006/relationships/hyperlink" Target="https://juken.oricon.co.jp/rank-kids-programming/company/stemon/" TargetMode="External"/><Relationship Id="rId5" Type="http://schemas.openxmlformats.org/officeDocument/2006/relationships/hyperlink" Target="https://en-gage.net/viling/work_6029651/" TargetMode="External"/><Relationship Id="rId6" Type="http://schemas.openxmlformats.org/officeDocument/2006/relationships/hyperlink" Target="https://steamcampus.jp/" TargetMode="External"/><Relationship Id="rId7" Type="http://schemas.openxmlformats.org/officeDocument/2006/relationships/hyperlink" Target="https://www.learningsystems.co.jp/steam_campus_fc.html" TargetMode="External"/><Relationship Id="rId8" Type="http://schemas.openxmlformats.org/officeDocument/2006/relationships/hyperlink" Target="https://manabikids.jp/lego-gessha/" TargetMode="External"/><Relationship Id="rId9" Type="http://schemas.openxmlformats.org/officeDocument/2006/relationships/hyperlink" Target="https://coeteco.jp/brand/legoschool" TargetMode="External"/><Relationship Id="rId10" Type="http://schemas.openxmlformats.org/officeDocument/2006/relationships/hyperlink" Target="https://kids.athuman.com/robo/" TargetMode="External"/><Relationship Id="rId11" Type="http://schemas.openxmlformats.org/officeDocument/2006/relationships/hyperlink" Target="https://kids.athuman.com/fc/lp02/" TargetMode="External"/><Relationship Id="rId12" Type="http://schemas.openxmlformats.org/officeDocument/2006/relationships/hyperlink" Target="https://kodomoprogramming.net/humanacademy-price/" TargetMode="External"/><Relationship Id="rId13" Type="http://schemas.openxmlformats.org/officeDocument/2006/relationships/hyperlink" Target="https://coeteco.jp/brand/human-robot" TargetMode="External"/><Relationship Id="rId14" Type="http://schemas.openxmlformats.org/officeDocument/2006/relationships/hyperlink" Target="https://media.robo-done.com/programming-school/post-701/" TargetMode="External"/><Relationship Id="rId15" Type="http://schemas.openxmlformats.org/officeDocument/2006/relationships/hyperlink" Target="https://daivoy.com/robo-done-fee/" TargetMode="External"/><Relationship Id="rId16" Type="http://schemas.openxmlformats.org/officeDocument/2006/relationships/hyperlink" Target="https://coeteco.jp/brand/robo-done" TargetMode="External"/><Relationship Id="rId17" Type="http://schemas.openxmlformats.org/officeDocument/2006/relationships/hyperlink" Target="https://prtimes.jp/main/html/rd/p/000000036.000006566.html" TargetMode="External"/><Relationship Id="rId18" Type="http://schemas.openxmlformats.org/officeDocument/2006/relationships/hyperlink" Target="https://crefus.com/company/" TargetMode="External"/><Relationship Id="rId19" Type="http://schemas.openxmlformats.org/officeDocument/2006/relationships/hyperlink" Target="https://crefus.jp/fll/" TargetMode="External"/><Relationship Id="rId20" Type="http://schemas.openxmlformats.org/officeDocument/2006/relationships/hyperlink" Target="https://techgym.jp/column/crefus-hyoban/" TargetMode="External"/><Relationship Id="rId21" Type="http://schemas.openxmlformats.org/officeDocument/2006/relationships/hyperlink" Target="https://jukunavi.com/job/crefus/futakotamagawa/" TargetMode="External"/><Relationship Id="rId22" Type="http://schemas.openxmlformats.org/officeDocument/2006/relationships/hyperlink" Target="https://www.artec-kk.co.jp/school/edison/" TargetMode="External"/><Relationship Id="rId23" Type="http://schemas.openxmlformats.org/officeDocument/2006/relationships/hyperlink" Target="https://edisonacademy.jp/" TargetMode="External"/><Relationship Id="rId24" Type="http://schemas.openxmlformats.org/officeDocument/2006/relationships/hyperlink" Target="https://daivoy.com/artec-edison-fee/" TargetMode="External"/><Relationship Id="rId25" Type="http://schemas.openxmlformats.org/officeDocument/2006/relationships/hyperlink" Target="https://coeteco.jp/brand/edisonacademy" TargetMode="External"/><Relationship Id="rId26" Type="http://schemas.openxmlformats.org/officeDocument/2006/relationships/hyperlink" Target="https://www.proglab.education/" TargetMode="External"/><Relationship Id="rId27" Type="http://schemas.openxmlformats.org/officeDocument/2006/relationships/hyperlink" Target="https://www.hankyu-hanshin.co.jp/release/docs/aa89307f2d664c25f107f0d6838016ddbee47ee4.pdf" TargetMode="External"/><Relationship Id="rId28" Type="http://schemas.openxmlformats.org/officeDocument/2006/relationships/hyperlink" Target="https://coeteco.jp/brand/proglab" TargetMode="External"/><Relationship Id="rId29" Type="http://schemas.openxmlformats.org/officeDocument/2006/relationships/hyperlink" Target="https://www.proglab.education/recruit/" TargetMode="External"/><Relationship Id="rId30" Type="http://schemas.openxmlformats.org/officeDocument/2006/relationships/hyperlink" Target="https://tamiya-robotschool.com/" TargetMode="External"/><Relationship Id="rId31" Type="http://schemas.openxmlformats.org/officeDocument/2006/relationships/hyperlink" Target="https://daivoy.com/tamiya-robot-fee/" TargetMode="External"/><Relationship Id="rId32" Type="http://schemas.openxmlformats.org/officeDocument/2006/relationships/hyperlink" Target="https://play-program.com/tamiya/" TargetMode="External"/><Relationship Id="rId33" Type="http://schemas.openxmlformats.org/officeDocument/2006/relationships/hyperlink" Target="https://wonder.litalico.jp/faq/qa_category_4/" TargetMode="External"/><Relationship Id="rId34" Type="http://schemas.openxmlformats.org/officeDocument/2006/relationships/hyperlink" Target="https://coeteco.jp/brand/litalico-wonder" TargetMode="External"/><Relationship Id="rId35" Type="http://schemas.openxmlformats.org/officeDocument/2006/relationships/hyperlink" Target="https://job-ole.com/recruit/litalico/jobs/13787511" TargetMode="External"/><Relationship Id="rId36" Type="http://schemas.openxmlformats.org/officeDocument/2006/relationships/hyperlink" Target="https://techkidsschool.jp/school/" TargetMode="External"/><Relationship Id="rId37" Type="http://schemas.openxmlformats.org/officeDocument/2006/relationships/hyperlink" Target="https://techkidsschool.jp/faq/qa_list/" TargetMode="External"/><Relationship Id="rId38" Type="http://schemas.openxmlformats.org/officeDocument/2006/relationships/hyperlink" Target="https://www.cyberagent.co.jp/news/detail/id=33354" TargetMode="External"/><Relationship Id="rId39" Type="http://schemas.openxmlformats.org/officeDocument/2006/relationships/hyperlink" Target="https://qureo.jp/" TargetMode="External"/><Relationship Id="rId40" Type="http://schemas.openxmlformats.org/officeDocument/2006/relationships/hyperlink" Target="https://qureo.jp/class/faq" TargetMode="External"/><Relationship Id="rId41" Type="http://schemas.openxmlformats.org/officeDocument/2006/relationships/hyperlink" Target="https://www.cyberagent.co.jp/news/detail/id=30040" TargetMode="External"/><Relationship Id="rId42" Type="http://schemas.openxmlformats.org/officeDocument/2006/relationships/hyperlink" Target="https://www.morijuku.com/column/53/" TargetMode="External"/><Relationship Id="rId43" Type="http://schemas.openxmlformats.org/officeDocument/2006/relationships/hyperlink" Target="https://www.zkai.co.jp/z-programming/" TargetMode="External"/><Relationship Id="rId44" Type="http://schemas.openxmlformats.org/officeDocument/2006/relationships/hyperlink" Target="https://www.zkai.co.jp/z-programming/mirai/price/" TargetMode="External"/><Relationship Id="rId45" Type="http://schemas.openxmlformats.org/officeDocument/2006/relationships/hyperlink" Target="https://prtimes.jp/main/html/rd/p/000001016.000049291.html" TargetMode="External"/><Relationship Id="rId46" Type="http://schemas.openxmlformats.org/officeDocument/2006/relationships/hyperlink" Target="https://digitane.jp/online/pricing/" TargetMode="External"/><Relationship Id="rId47" Type="http://schemas.openxmlformats.org/officeDocument/2006/relationships/hyperlink" Target="https://www.educationaldesign.jp/2023/02/21/2892/" TargetMode="External"/><Relationship Id="rId48" Type="http://schemas.openxmlformats.org/officeDocument/2006/relationships/hyperlink" Target="https://coeteco.jp/brand/d-school_online" TargetMode="External"/><Relationship Id="rId49" Type="http://schemas.openxmlformats.org/officeDocument/2006/relationships/hyperlink" Target="https://codecampkids.jp/" TargetMode="External"/><Relationship Id="rId50" Type="http://schemas.openxmlformats.org/officeDocument/2006/relationships/hyperlink" Target="https://coeteco.jp/brand/codecampkids" TargetMode="External"/><Relationship Id="rId51" Type="http://schemas.openxmlformats.org/officeDocument/2006/relationships/hyperlink" Target="https://baitonet.jp/job_2021062/" TargetMode="External"/><Relationship Id="rId52" Type="http://schemas.openxmlformats.org/officeDocument/2006/relationships/hyperlink" Target="https://narika.jp/company/" TargetMode="External"/><Relationship Id="rId53" Type="http://schemas.openxmlformats.org/officeDocument/2006/relationships/hyperlink" Target="https://www.rika.com/lego" TargetMode="External"/><Relationship Id="rId54" Type="http://schemas.openxmlformats.org/officeDocument/2006/relationships/hyperlink" Target="https://www.rika.com/programming" TargetMode="External"/><Relationship Id="rId55" Type="http://schemas.openxmlformats.org/officeDocument/2006/relationships/hyperlink" Target="https://www.rika.com/ns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20.85" hidden="false" customHeight="false" outlineLevel="0" collapsed="false">
      <c r="A1" s="1" t="s">
        <v>0</v>
      </c>
    </row>
    <row r="3" customFormat="false" ht="33.75" hidden="false" customHeight="true" outlineLevel="0" collapsed="false">
      <c r="A3" s="2" t="s">
        <v>1</v>
      </c>
      <c r="B3" s="3" t="s">
        <v>2</v>
      </c>
    </row>
    <row r="4" customFormat="false" ht="33.75" hidden="false" customHeight="true" outlineLevel="0" collapsed="false">
      <c r="A4" s="2" t="s">
        <v>3</v>
      </c>
      <c r="B4" s="4" t="s">
        <v>4</v>
      </c>
    </row>
    <row r="5" customFormat="false" ht="33.75" hidden="false" customHeight="true" outlineLevel="0" collapsed="false">
      <c r="A5" s="2" t="s">
        <v>5</v>
      </c>
      <c r="B5" s="3" t="s">
        <v>6</v>
      </c>
    </row>
    <row r="6" customFormat="false" ht="33.75" hidden="false" customHeight="true" outlineLevel="0" collapsed="false">
      <c r="A6" s="2" t="s">
        <v>7</v>
      </c>
      <c r="B6" s="4" t="s">
        <v>8</v>
      </c>
    </row>
    <row r="7" customFormat="false" ht="33.75" hidden="false" customHeight="true" outlineLevel="0" collapsed="false">
      <c r="A7" s="2" t="s">
        <v>9</v>
      </c>
      <c r="B7" s="5" t="s">
        <v>10</v>
      </c>
    </row>
    <row r="8" customFormat="false" ht="33.75" hidden="false" customHeight="true" outlineLevel="0" collapsed="false">
      <c r="A8" s="2" t="s">
        <v>11</v>
      </c>
      <c r="B8" s="3" t="s">
        <v>12</v>
      </c>
    </row>
    <row r="9" customFormat="false" ht="33.75" hidden="false" customHeight="true" outlineLevel="0" collapsed="false">
      <c r="A9" s="2" t="s">
        <v>13</v>
      </c>
      <c r="B9" s="4" t="s">
        <v>14</v>
      </c>
    </row>
    <row r="10" customFormat="false" ht="33.75" hidden="false" customHeight="true" outlineLevel="0" collapsed="false">
      <c r="A10" s="2" t="s">
        <v>15</v>
      </c>
      <c r="B10" s="3" t="s">
        <v>16</v>
      </c>
    </row>
    <row r="11" customFormat="false" ht="33.75" hidden="false" customHeight="tru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9" min="8" style="0" width="11"/>
    <col collapsed="false" customWidth="true" hidden="false" outlineLevel="0" max="10" min="10" style="0" width="30"/>
    <col collapsed="false" customWidth="true" hidden="false" outlineLevel="0" max="11" min="11" style="0" width="28"/>
    <col collapsed="false" customWidth="true" hidden="false" outlineLevel="0" max="13" min="12" style="0" width="40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6" t="s">
        <v>19</v>
      </c>
    </row>
    <row r="2" customFormat="false" ht="15" hidden="false" customHeight="false" outlineLevel="0" collapsed="false">
      <c r="A2" s="7" t="s">
        <v>20</v>
      </c>
    </row>
    <row r="4" customFormat="false" ht="31.5" hidden="false" customHeight="true" outlineLevel="0" collapsed="false">
      <c r="A4" s="8" t="s">
        <v>21</v>
      </c>
      <c r="B4" s="8" t="s">
        <v>22</v>
      </c>
      <c r="C4" s="8" t="s">
        <v>23</v>
      </c>
      <c r="D4" s="8" t="s">
        <v>5</v>
      </c>
      <c r="E4" s="8" t="s">
        <v>24</v>
      </c>
      <c r="F4" s="8" t="s">
        <v>25</v>
      </c>
      <c r="G4" s="8" t="s">
        <v>26</v>
      </c>
      <c r="H4" s="9" t="s">
        <v>27</v>
      </c>
      <c r="I4" s="9" t="s">
        <v>28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</row>
    <row r="5" customFormat="false" ht="91.5" hidden="false" customHeight="true" outlineLevel="0" collapsed="false">
      <c r="A5" s="10" t="s">
        <v>34</v>
      </c>
      <c r="B5" s="10" t="s">
        <v>35</v>
      </c>
      <c r="C5" s="11" t="s">
        <v>36</v>
      </c>
      <c r="D5" s="11" t="s">
        <v>37</v>
      </c>
      <c r="E5" s="12" t="s">
        <v>38</v>
      </c>
      <c r="F5" s="11" t="s">
        <v>39</v>
      </c>
      <c r="G5" s="12" t="s">
        <v>40</v>
      </c>
      <c r="H5" s="13" t="n">
        <f aca="false">料金比較!L5</f>
        <v>156420</v>
      </c>
      <c r="I5" s="13" t="n">
        <f aca="false">料金比較!M5</f>
        <v>464860</v>
      </c>
      <c r="J5" s="11" t="s">
        <v>41</v>
      </c>
      <c r="K5" s="11" t="s">
        <v>42</v>
      </c>
      <c r="L5" s="11" t="s">
        <v>43</v>
      </c>
      <c r="M5" s="11" t="s">
        <v>44</v>
      </c>
      <c r="N5" s="14" t="s">
        <v>45</v>
      </c>
    </row>
    <row r="6" customFormat="false" ht="91.5" hidden="false" customHeight="true" outlineLevel="0" collapsed="false">
      <c r="A6" s="15" t="s">
        <v>46</v>
      </c>
      <c r="B6" s="16" t="s">
        <v>47</v>
      </c>
      <c r="C6" s="15" t="s">
        <v>48</v>
      </c>
      <c r="D6" s="16" t="s">
        <v>49</v>
      </c>
      <c r="E6" s="15" t="s">
        <v>50</v>
      </c>
      <c r="F6" s="15" t="s">
        <v>51</v>
      </c>
      <c r="G6" s="15" t="s">
        <v>52</v>
      </c>
      <c r="H6" s="17" t="n">
        <f aca="false">料金比較!L6</f>
        <v>188500</v>
      </c>
      <c r="I6" s="17" t="n">
        <f aca="false">料金比較!M6</f>
        <v>514900</v>
      </c>
      <c r="J6" s="16" t="s">
        <v>53</v>
      </c>
      <c r="K6" s="15" t="s">
        <v>54</v>
      </c>
      <c r="L6" s="15" t="s">
        <v>55</v>
      </c>
      <c r="M6" s="16" t="s">
        <v>56</v>
      </c>
      <c r="N6" s="18" t="s">
        <v>57</v>
      </c>
    </row>
    <row r="7" customFormat="false" ht="91.5" hidden="false" customHeight="true" outlineLevel="0" collapsed="false">
      <c r="A7" s="15" t="s">
        <v>46</v>
      </c>
      <c r="B7" s="15" t="s">
        <v>58</v>
      </c>
      <c r="C7" s="15" t="s">
        <v>59</v>
      </c>
      <c r="D7" s="15" t="s">
        <v>60</v>
      </c>
      <c r="E7" s="16" t="s">
        <v>61</v>
      </c>
      <c r="F7" s="16" t="s">
        <v>62</v>
      </c>
      <c r="G7" s="15" t="s">
        <v>63</v>
      </c>
      <c r="H7" s="17" t="n">
        <f aca="false">料金比較!L7</f>
        <v>182600</v>
      </c>
      <c r="I7" s="17" t="n">
        <f aca="false">料金比較!M7</f>
        <v>479800</v>
      </c>
      <c r="J7" s="15" t="s">
        <v>64</v>
      </c>
      <c r="K7" s="15" t="s">
        <v>65</v>
      </c>
      <c r="L7" s="15" t="s">
        <v>66</v>
      </c>
      <c r="M7" s="15" t="s">
        <v>67</v>
      </c>
      <c r="N7" s="19" t="s">
        <v>68</v>
      </c>
    </row>
    <row r="8" customFormat="false" ht="91.5" hidden="false" customHeight="true" outlineLevel="0" collapsed="false">
      <c r="A8" s="15" t="s">
        <v>46</v>
      </c>
      <c r="B8" s="15" t="s">
        <v>69</v>
      </c>
      <c r="C8" s="15" t="s">
        <v>70</v>
      </c>
      <c r="D8" s="15" t="s">
        <v>71</v>
      </c>
      <c r="E8" s="15" t="s">
        <v>72</v>
      </c>
      <c r="F8" s="15" t="s">
        <v>73</v>
      </c>
      <c r="G8" s="16" t="s">
        <v>74</v>
      </c>
      <c r="H8" s="17" t="n">
        <f aca="false">料金比較!L8</f>
        <v>164000</v>
      </c>
      <c r="I8" s="17" t="n">
        <f aca="false">料金比較!M8</f>
        <v>470000</v>
      </c>
      <c r="J8" s="16" t="s">
        <v>75</v>
      </c>
      <c r="K8" s="15" t="s">
        <v>76</v>
      </c>
      <c r="L8" s="15" t="s">
        <v>77</v>
      </c>
      <c r="M8" s="15" t="s">
        <v>78</v>
      </c>
      <c r="N8" s="18" t="s">
        <v>57</v>
      </c>
    </row>
    <row r="9" customFormat="false" ht="91.5" hidden="false" customHeight="true" outlineLevel="0" collapsed="false">
      <c r="A9" s="15" t="s">
        <v>46</v>
      </c>
      <c r="B9" s="15" t="s">
        <v>79</v>
      </c>
      <c r="C9" s="15" t="s">
        <v>80</v>
      </c>
      <c r="D9" s="15" t="s">
        <v>81</v>
      </c>
      <c r="E9" s="16" t="s">
        <v>82</v>
      </c>
      <c r="F9" s="15" t="s">
        <v>83</v>
      </c>
      <c r="G9" s="16" t="s">
        <v>84</v>
      </c>
      <c r="H9" s="17" t="n">
        <f aca="false">料金比較!L9</f>
        <v>310035</v>
      </c>
      <c r="I9" s="17" t="n">
        <f aca="false">料金比較!M9</f>
        <v>761475</v>
      </c>
      <c r="J9" s="16" t="s">
        <v>85</v>
      </c>
      <c r="K9" s="15" t="s">
        <v>86</v>
      </c>
      <c r="L9" s="15" t="s">
        <v>87</v>
      </c>
      <c r="M9" s="16" t="s">
        <v>88</v>
      </c>
      <c r="N9" s="18" t="s">
        <v>57</v>
      </c>
    </row>
    <row r="10" customFormat="false" ht="91.5" hidden="false" customHeight="true" outlineLevel="0" collapsed="false">
      <c r="A10" s="15" t="s">
        <v>46</v>
      </c>
      <c r="B10" s="15" t="s">
        <v>89</v>
      </c>
      <c r="C10" s="15" t="s">
        <v>90</v>
      </c>
      <c r="D10" s="15" t="s">
        <v>91</v>
      </c>
      <c r="E10" s="15" t="s">
        <v>92</v>
      </c>
      <c r="F10" s="16" t="s">
        <v>93</v>
      </c>
      <c r="G10" s="16" t="s">
        <v>94</v>
      </c>
      <c r="H10" s="17" t="n">
        <f aca="false">料金比較!L10</f>
        <v>183000</v>
      </c>
      <c r="I10" s="17" t="n">
        <f aca="false">料金比較!M10</f>
        <v>447000</v>
      </c>
      <c r="J10" s="15" t="s">
        <v>95</v>
      </c>
      <c r="K10" s="15" t="s">
        <v>96</v>
      </c>
      <c r="L10" s="15" t="s">
        <v>97</v>
      </c>
      <c r="M10" s="15" t="s">
        <v>98</v>
      </c>
      <c r="N10" s="18" t="s">
        <v>57</v>
      </c>
    </row>
    <row r="11" customFormat="false" ht="91.5" hidden="false" customHeight="true" outlineLevel="0" collapsed="false">
      <c r="A11" s="15" t="s">
        <v>46</v>
      </c>
      <c r="B11" s="15" t="s">
        <v>99</v>
      </c>
      <c r="C11" s="15" t="s">
        <v>100</v>
      </c>
      <c r="D11" s="15" t="s">
        <v>71</v>
      </c>
      <c r="E11" s="16" t="s">
        <v>101</v>
      </c>
      <c r="F11" s="15" t="s">
        <v>102</v>
      </c>
      <c r="G11" s="16" t="s">
        <v>103</v>
      </c>
      <c r="H11" s="17" t="n">
        <f aca="false">料金比較!L11</f>
        <v>141240</v>
      </c>
      <c r="I11" s="17" t="n">
        <f aca="false">料金比較!M11</f>
        <v>484440</v>
      </c>
      <c r="J11" s="16" t="s">
        <v>104</v>
      </c>
      <c r="K11" s="15" t="s">
        <v>105</v>
      </c>
      <c r="L11" s="15" t="s">
        <v>106</v>
      </c>
      <c r="M11" s="16" t="s">
        <v>107</v>
      </c>
      <c r="N11" s="19" t="s">
        <v>68</v>
      </c>
    </row>
    <row r="12" customFormat="false" ht="91.5" hidden="false" customHeight="true" outlineLevel="0" collapsed="false">
      <c r="A12" s="15" t="s">
        <v>46</v>
      </c>
      <c r="B12" s="15" t="s">
        <v>108</v>
      </c>
      <c r="C12" s="15" t="s">
        <v>109</v>
      </c>
      <c r="D12" s="15" t="s">
        <v>110</v>
      </c>
      <c r="E12" s="15" t="s">
        <v>111</v>
      </c>
      <c r="F12" s="16" t="s">
        <v>112</v>
      </c>
      <c r="G12" s="16" t="s">
        <v>113</v>
      </c>
      <c r="H12" s="17" t="n">
        <f aca="false">料金比較!L12</f>
        <v>116150</v>
      </c>
      <c r="I12" s="17" t="n">
        <f aca="false">料金比較!M12</f>
        <v>314150</v>
      </c>
      <c r="J12" s="15" t="s">
        <v>114</v>
      </c>
      <c r="K12" s="15" t="s">
        <v>115</v>
      </c>
      <c r="L12" s="15" t="s">
        <v>116</v>
      </c>
      <c r="M12" s="15" t="s">
        <v>117</v>
      </c>
      <c r="N12" s="20" t="s">
        <v>118</v>
      </c>
    </row>
    <row r="13" customFormat="false" ht="91.5" hidden="false" customHeight="true" outlineLevel="0" collapsed="false">
      <c r="A13" s="15" t="s">
        <v>119</v>
      </c>
      <c r="B13" s="16" t="s">
        <v>120</v>
      </c>
      <c r="C13" s="15" t="s">
        <v>121</v>
      </c>
      <c r="D13" s="15" t="s">
        <v>122</v>
      </c>
      <c r="E13" s="16" t="s">
        <v>123</v>
      </c>
      <c r="F13" s="15" t="s">
        <v>124</v>
      </c>
      <c r="G13" s="16" t="s">
        <v>125</v>
      </c>
      <c r="H13" s="17" t="n">
        <f aca="false">料金比較!L13</f>
        <v>372900</v>
      </c>
      <c r="I13" s="17" t="n">
        <f aca="false">料金比較!M13</f>
        <v>1085700</v>
      </c>
      <c r="J13" s="16" t="s">
        <v>126</v>
      </c>
      <c r="K13" s="15" t="s">
        <v>127</v>
      </c>
      <c r="L13" s="15" t="s">
        <v>128</v>
      </c>
      <c r="M13" s="15" t="s">
        <v>129</v>
      </c>
      <c r="N13" s="20" t="s">
        <v>118</v>
      </c>
    </row>
    <row r="14" customFormat="false" ht="91.5" hidden="false" customHeight="true" outlineLevel="0" collapsed="false">
      <c r="A14" s="15" t="s">
        <v>119</v>
      </c>
      <c r="B14" s="16" t="s">
        <v>130</v>
      </c>
      <c r="C14" s="15" t="s">
        <v>131</v>
      </c>
      <c r="D14" s="15" t="s">
        <v>132</v>
      </c>
      <c r="E14" s="15" t="s">
        <v>133</v>
      </c>
      <c r="F14" s="15" t="s">
        <v>124</v>
      </c>
      <c r="G14" s="16" t="s">
        <v>134</v>
      </c>
      <c r="H14" s="17" t="n">
        <f aca="false">料金比較!L14</f>
        <v>304920</v>
      </c>
      <c r="I14" s="17" t="n">
        <f aca="false">料金比較!M14</f>
        <v>914760</v>
      </c>
      <c r="J14" s="16" t="s">
        <v>135</v>
      </c>
      <c r="K14" s="15" t="s">
        <v>136</v>
      </c>
      <c r="L14" s="15" t="s">
        <v>137</v>
      </c>
      <c r="M14" s="15" t="s">
        <v>138</v>
      </c>
      <c r="N14" s="20" t="s">
        <v>118</v>
      </c>
    </row>
    <row r="15" customFormat="false" ht="91.5" hidden="false" customHeight="true" outlineLevel="0" collapsed="false">
      <c r="A15" s="15" t="s">
        <v>119</v>
      </c>
      <c r="B15" s="16" t="s">
        <v>139</v>
      </c>
      <c r="C15" s="15" t="s">
        <v>140</v>
      </c>
      <c r="D15" s="15" t="s">
        <v>141</v>
      </c>
      <c r="E15" s="16" t="s">
        <v>142</v>
      </c>
      <c r="F15" s="15" t="s">
        <v>143</v>
      </c>
      <c r="G15" s="16" t="s">
        <v>144</v>
      </c>
      <c r="H15" s="17" t="n">
        <f aca="false">料金比較!L15</f>
        <v>118800</v>
      </c>
      <c r="I15" s="17" t="n">
        <f aca="false">料金比較!M15</f>
        <v>356400</v>
      </c>
      <c r="J15" s="15" t="s">
        <v>145</v>
      </c>
      <c r="K15" s="15" t="s">
        <v>146</v>
      </c>
      <c r="L15" s="15" t="s">
        <v>147</v>
      </c>
      <c r="M15" s="15" t="s">
        <v>148</v>
      </c>
      <c r="N15" s="18" t="s">
        <v>57</v>
      </c>
    </row>
    <row r="16" customFormat="false" ht="91.5" hidden="false" customHeight="true" outlineLevel="0" collapsed="false">
      <c r="A16" s="15" t="s">
        <v>149</v>
      </c>
      <c r="B16" s="16" t="s">
        <v>150</v>
      </c>
      <c r="C16" s="15" t="s">
        <v>151</v>
      </c>
      <c r="D16" s="15" t="s">
        <v>152</v>
      </c>
      <c r="E16" s="15" t="s">
        <v>153</v>
      </c>
      <c r="F16" s="15" t="s">
        <v>154</v>
      </c>
      <c r="G16" s="15" t="s">
        <v>155</v>
      </c>
      <c r="H16" s="17" t="n">
        <f aca="false">料金比較!L16</f>
        <v>74400</v>
      </c>
      <c r="I16" s="17" t="n">
        <f aca="false">料金比較!M16</f>
        <v>230400</v>
      </c>
      <c r="J16" s="16" t="s">
        <v>156</v>
      </c>
      <c r="K16" s="15" t="s">
        <v>157</v>
      </c>
      <c r="L16" s="15" t="s">
        <v>158</v>
      </c>
      <c r="M16" s="15" t="s">
        <v>159</v>
      </c>
      <c r="N16" s="20" t="s">
        <v>118</v>
      </c>
    </row>
    <row r="17" customFormat="false" ht="91.5" hidden="false" customHeight="true" outlineLevel="0" collapsed="false">
      <c r="A17" s="15" t="s">
        <v>149</v>
      </c>
      <c r="B17" s="15" t="s">
        <v>160</v>
      </c>
      <c r="C17" s="15" t="s">
        <v>161</v>
      </c>
      <c r="D17" s="15" t="s">
        <v>162</v>
      </c>
      <c r="E17" s="15" t="s">
        <v>163</v>
      </c>
      <c r="F17" s="15" t="s">
        <v>164</v>
      </c>
      <c r="G17" s="16" t="s">
        <v>165</v>
      </c>
      <c r="H17" s="17" t="n">
        <f aca="false">料金比較!L17</f>
        <v>59760</v>
      </c>
      <c r="I17" s="17" t="n">
        <f aca="false">料金比較!M17</f>
        <v>179280</v>
      </c>
      <c r="J17" s="15" t="s">
        <v>166</v>
      </c>
      <c r="K17" s="15" t="s">
        <v>167</v>
      </c>
      <c r="L17" s="15" t="s">
        <v>168</v>
      </c>
      <c r="M17" s="15" t="s">
        <v>169</v>
      </c>
      <c r="N17" s="20" t="s">
        <v>118</v>
      </c>
    </row>
    <row r="18" customFormat="false" ht="91.5" hidden="false" customHeight="true" outlineLevel="0" collapsed="false">
      <c r="A18" s="15" t="s">
        <v>149</v>
      </c>
      <c r="B18" s="16" t="s">
        <v>170</v>
      </c>
      <c r="C18" s="15" t="s">
        <v>171</v>
      </c>
      <c r="D18" s="15" t="s">
        <v>71</v>
      </c>
      <c r="E18" s="16" t="s">
        <v>172</v>
      </c>
      <c r="F18" s="15" t="s">
        <v>173</v>
      </c>
      <c r="G18" s="16" t="s">
        <v>174</v>
      </c>
      <c r="H18" s="17" t="n">
        <f aca="false">料金比較!L18</f>
        <v>143000</v>
      </c>
      <c r="I18" s="17" t="n">
        <f aca="false">料金比較!M18</f>
        <v>539000</v>
      </c>
      <c r="J18" s="16" t="s">
        <v>175</v>
      </c>
      <c r="K18" s="15" t="s">
        <v>176</v>
      </c>
      <c r="L18" s="16" t="s">
        <v>177</v>
      </c>
      <c r="M18" s="15" t="s">
        <v>178</v>
      </c>
      <c r="N18" s="2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8" min="4" style="0" width="10"/>
    <col collapsed="false" customWidth="true" hidden="false" outlineLevel="0" max="13" min="9" style="0" width="12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8" min="17" style="0" width="26"/>
  </cols>
  <sheetData>
    <row r="1" customFormat="false" ht="19.4" hidden="false" customHeight="false" outlineLevel="0" collapsed="false">
      <c r="A1" s="6" t="s">
        <v>179</v>
      </c>
    </row>
    <row r="2" customFormat="false" ht="15" hidden="false" customHeight="false" outlineLevel="0" collapsed="false">
      <c r="A2" s="7" t="s">
        <v>180</v>
      </c>
    </row>
    <row r="4" customFormat="false" ht="31.5" hidden="false" customHeight="true" outlineLevel="0" collapsed="false">
      <c r="A4" s="8" t="s">
        <v>21</v>
      </c>
      <c r="B4" s="8" t="s">
        <v>22</v>
      </c>
      <c r="C4" s="8" t="s">
        <v>181</v>
      </c>
      <c r="D4" s="8" t="s">
        <v>182</v>
      </c>
      <c r="E4" s="8" t="s">
        <v>183</v>
      </c>
      <c r="F4" s="8" t="s">
        <v>184</v>
      </c>
      <c r="G4" s="8" t="s">
        <v>185</v>
      </c>
      <c r="H4" s="8" t="s">
        <v>186</v>
      </c>
      <c r="I4" s="8" t="s">
        <v>187</v>
      </c>
      <c r="J4" s="8" t="s">
        <v>188</v>
      </c>
      <c r="K4" s="8" t="s">
        <v>189</v>
      </c>
      <c r="L4" s="9" t="s">
        <v>190</v>
      </c>
      <c r="M4" s="9" t="s">
        <v>191</v>
      </c>
      <c r="N4" s="8" t="s">
        <v>192</v>
      </c>
      <c r="O4" s="8" t="s">
        <v>193</v>
      </c>
      <c r="P4" s="9" t="s">
        <v>194</v>
      </c>
      <c r="Q4" s="8" t="s">
        <v>195</v>
      </c>
      <c r="R4" s="8" t="s">
        <v>196</v>
      </c>
    </row>
    <row r="5" customFormat="false" ht="57.75" hidden="false" customHeight="true" outlineLevel="0" collapsed="false">
      <c r="A5" s="10" t="s">
        <v>34</v>
      </c>
      <c r="B5" s="10" t="s">
        <v>35</v>
      </c>
      <c r="C5" s="11" t="s">
        <v>197</v>
      </c>
      <c r="D5" s="21" t="n">
        <v>16500</v>
      </c>
      <c r="E5" s="21" t="n">
        <v>10780</v>
      </c>
      <c r="F5" s="21" t="n">
        <v>10780</v>
      </c>
      <c r="G5" s="21" t="n">
        <v>11880</v>
      </c>
      <c r="H5" s="21" t="n">
        <v>880</v>
      </c>
      <c r="I5" s="21" t="n">
        <v>0</v>
      </c>
      <c r="J5" s="21" t="n">
        <v>7700</v>
      </c>
      <c r="K5" s="21" t="n">
        <v>7700</v>
      </c>
      <c r="L5" s="22" t="n">
        <f aca="false">D5+(E5+H5)*12+I5</f>
        <v>156420</v>
      </c>
      <c r="M5" s="23" t="n">
        <f aca="false">D5+(E5+F5+G5+3*H5)*12+I5+J5+K5</f>
        <v>464860</v>
      </c>
      <c r="N5" s="24" t="n">
        <f aca="false">M5/$M$5</f>
        <v>1</v>
      </c>
      <c r="O5" s="25" t="n">
        <v>200</v>
      </c>
      <c r="P5" s="22" t="n">
        <f aca="false">IF(O5="","—",(E5+H5)/(O5/60))</f>
        <v>3498</v>
      </c>
      <c r="Q5" s="12" t="s">
        <v>40</v>
      </c>
      <c r="R5" s="11" t="s">
        <v>198</v>
      </c>
    </row>
    <row r="6" customFormat="false" ht="57.75" hidden="false" customHeight="true" outlineLevel="0" collapsed="false">
      <c r="A6" s="15" t="s">
        <v>46</v>
      </c>
      <c r="B6" s="16" t="s">
        <v>47</v>
      </c>
      <c r="C6" s="15" t="s">
        <v>199</v>
      </c>
      <c r="D6" s="26" t="n">
        <v>25300</v>
      </c>
      <c r="E6" s="26" t="n">
        <v>11100</v>
      </c>
      <c r="F6" s="26" t="n">
        <v>11100</v>
      </c>
      <c r="G6" s="26" t="n">
        <v>11100</v>
      </c>
      <c r="H6" s="26" t="n">
        <v>0</v>
      </c>
      <c r="I6" s="26" t="n">
        <v>30000</v>
      </c>
      <c r="J6" s="26" t="n">
        <v>30000</v>
      </c>
      <c r="K6" s="26" t="n">
        <v>30000</v>
      </c>
      <c r="L6" s="27" t="n">
        <f aca="false">D6+(E6+H6)*12+I6</f>
        <v>188500</v>
      </c>
      <c r="M6" s="28" t="n">
        <f aca="false">D6+(E6+F6+G6+3*H6)*12+I6+J6+K6</f>
        <v>514900</v>
      </c>
      <c r="N6" s="29" t="n">
        <f aca="false">M6/$M$5</f>
        <v>1.10764531256722</v>
      </c>
      <c r="O6" s="30"/>
      <c r="P6" s="27" t="str">
        <f aca="false">IF(O6="","—",(E6+H6)/(O6/60))</f>
        <v>—</v>
      </c>
      <c r="Q6" s="15" t="s">
        <v>52</v>
      </c>
      <c r="R6" s="15" t="s">
        <v>200</v>
      </c>
    </row>
    <row r="7" customFormat="false" ht="57.75" hidden="false" customHeight="true" outlineLevel="0" collapsed="false">
      <c r="A7" s="15" t="s">
        <v>46</v>
      </c>
      <c r="B7" s="15" t="s">
        <v>58</v>
      </c>
      <c r="C7" s="15" t="s">
        <v>201</v>
      </c>
      <c r="D7" s="26" t="n">
        <v>11000</v>
      </c>
      <c r="E7" s="26" t="n">
        <v>11550</v>
      </c>
      <c r="F7" s="26" t="n">
        <v>11550</v>
      </c>
      <c r="G7" s="26" t="n">
        <v>11550</v>
      </c>
      <c r="H7" s="26" t="n">
        <v>0</v>
      </c>
      <c r="I7" s="26" t="n">
        <v>33000</v>
      </c>
      <c r="J7" s="26" t="n">
        <v>20000</v>
      </c>
      <c r="K7" s="26" t="n">
        <v>0</v>
      </c>
      <c r="L7" s="27" t="n">
        <f aca="false">D7+(E7+H7)*12+I7</f>
        <v>182600</v>
      </c>
      <c r="M7" s="28" t="n">
        <f aca="false">D7+(E7+F7+G7+3*H7)*12+I7+J7+K7</f>
        <v>479800</v>
      </c>
      <c r="N7" s="29" t="n">
        <f aca="false">M7/$M$5</f>
        <v>1.03213870842834</v>
      </c>
      <c r="O7" s="30" t="n">
        <v>180</v>
      </c>
      <c r="P7" s="27" t="n">
        <f aca="false">IF(O7="","—",(E7+H7)/(O7/60))</f>
        <v>3850</v>
      </c>
      <c r="Q7" s="15" t="s">
        <v>63</v>
      </c>
      <c r="R7" s="15" t="s">
        <v>202</v>
      </c>
    </row>
    <row r="8" customFormat="false" ht="57.75" hidden="false" customHeight="true" outlineLevel="0" collapsed="false">
      <c r="A8" s="15" t="s">
        <v>46</v>
      </c>
      <c r="B8" s="15" t="s">
        <v>69</v>
      </c>
      <c r="C8" s="15" t="s">
        <v>203</v>
      </c>
      <c r="D8" s="26" t="n">
        <v>11000</v>
      </c>
      <c r="E8" s="26" t="n">
        <v>12750</v>
      </c>
      <c r="F8" s="26" t="n">
        <v>12750</v>
      </c>
      <c r="G8" s="26" t="n">
        <v>12750</v>
      </c>
      <c r="H8" s="26" t="n">
        <v>0</v>
      </c>
      <c r="I8" s="26" t="n">
        <v>0</v>
      </c>
      <c r="J8" s="26" t="n">
        <v>0</v>
      </c>
      <c r="K8" s="26" t="n">
        <v>0</v>
      </c>
      <c r="L8" s="27" t="n">
        <f aca="false">D8+(E8+H8)*12+I8</f>
        <v>164000</v>
      </c>
      <c r="M8" s="28" t="n">
        <f aca="false">D8+(E8+F8+G8+3*H8)*12+I8+J8+K8</f>
        <v>470000</v>
      </c>
      <c r="N8" s="29" t="n">
        <f aca="false">M8/$M$5</f>
        <v>1.01105709245794</v>
      </c>
      <c r="O8" s="30"/>
      <c r="P8" s="27" t="str">
        <f aca="false">IF(O8="","—",(E8+H8)/(O8/60))</f>
        <v>—</v>
      </c>
      <c r="Q8" s="16" t="s">
        <v>74</v>
      </c>
      <c r="R8" s="15" t="s">
        <v>204</v>
      </c>
    </row>
    <row r="9" customFormat="false" ht="57.75" hidden="false" customHeight="true" outlineLevel="0" collapsed="false">
      <c r="A9" s="15" t="s">
        <v>46</v>
      </c>
      <c r="B9" s="15" t="s">
        <v>79</v>
      </c>
      <c r="C9" s="15" t="s">
        <v>205</v>
      </c>
      <c r="D9" s="26" t="n">
        <v>16500</v>
      </c>
      <c r="E9" s="26" t="n">
        <v>18810</v>
      </c>
      <c r="F9" s="26" t="n">
        <v>18810</v>
      </c>
      <c r="G9" s="26" t="n">
        <v>18810</v>
      </c>
      <c r="H9" s="26" t="n">
        <v>0</v>
      </c>
      <c r="I9" s="26" t="n">
        <v>67815</v>
      </c>
      <c r="J9" s="26" t="n">
        <v>0</v>
      </c>
      <c r="K9" s="26" t="n">
        <v>0</v>
      </c>
      <c r="L9" s="27" t="n">
        <f aca="false">D9+(E9+H9)*12+I9</f>
        <v>310035</v>
      </c>
      <c r="M9" s="28" t="n">
        <f aca="false">D9+(E9+F9+G9+3*H9)*12+I9+J9+K9</f>
        <v>761475</v>
      </c>
      <c r="N9" s="29" t="n">
        <f aca="false">M9/$M$5</f>
        <v>1.6380738286796</v>
      </c>
      <c r="O9" s="30" t="n">
        <v>315</v>
      </c>
      <c r="P9" s="27" t="n">
        <f aca="false">IF(O9="","—",(E9+H9)/(O9/60))</f>
        <v>3582.85714285714</v>
      </c>
      <c r="Q9" s="16" t="s">
        <v>84</v>
      </c>
      <c r="R9" s="15" t="s">
        <v>206</v>
      </c>
    </row>
    <row r="10" customFormat="false" ht="57.75" hidden="false" customHeight="true" outlineLevel="0" collapsed="false">
      <c r="A10" s="15" t="s">
        <v>46</v>
      </c>
      <c r="B10" s="15" t="s">
        <v>89</v>
      </c>
      <c r="C10" s="15" t="s">
        <v>207</v>
      </c>
      <c r="D10" s="26" t="n">
        <v>11000</v>
      </c>
      <c r="E10" s="26" t="n">
        <v>11000</v>
      </c>
      <c r="F10" s="26" t="n">
        <v>11000</v>
      </c>
      <c r="G10" s="26" t="n">
        <v>11000</v>
      </c>
      <c r="H10" s="26" t="n">
        <v>0</v>
      </c>
      <c r="I10" s="26" t="n">
        <v>40000</v>
      </c>
      <c r="J10" s="26" t="n">
        <v>0</v>
      </c>
      <c r="K10" s="26" t="n">
        <v>0</v>
      </c>
      <c r="L10" s="27" t="n">
        <f aca="false">D10+(E10+H10)*12+I10</f>
        <v>183000</v>
      </c>
      <c r="M10" s="28" t="n">
        <f aca="false">D10+(E10+F10+G10+3*H10)*12+I10+J10+K10</f>
        <v>447000</v>
      </c>
      <c r="N10" s="29" t="n">
        <f aca="false">M10/$M$5</f>
        <v>0.961579830486598</v>
      </c>
      <c r="O10" s="30" t="n">
        <v>180</v>
      </c>
      <c r="P10" s="27" t="n">
        <f aca="false">IF(O10="","—",(E10+H10)/(O10/60))</f>
        <v>3666.66666666667</v>
      </c>
      <c r="Q10" s="16" t="s">
        <v>94</v>
      </c>
      <c r="R10" s="15" t="s">
        <v>208</v>
      </c>
    </row>
    <row r="11" customFormat="false" ht="57.75" hidden="false" customHeight="true" outlineLevel="0" collapsed="false">
      <c r="A11" s="15" t="s">
        <v>46</v>
      </c>
      <c r="B11" s="15" t="s">
        <v>99</v>
      </c>
      <c r="C11" s="15" t="s">
        <v>209</v>
      </c>
      <c r="D11" s="26" t="n">
        <v>0</v>
      </c>
      <c r="E11" s="26" t="n">
        <v>11770</v>
      </c>
      <c r="F11" s="26" t="n">
        <v>13750</v>
      </c>
      <c r="G11" s="26" t="n">
        <v>14850</v>
      </c>
      <c r="H11" s="26" t="n">
        <v>0</v>
      </c>
      <c r="I11" s="26" t="n">
        <v>0</v>
      </c>
      <c r="J11" s="26" t="n">
        <v>0</v>
      </c>
      <c r="K11" s="26" t="n">
        <v>0</v>
      </c>
      <c r="L11" s="27" t="n">
        <f aca="false">D11+(E11+H11)*12+I11</f>
        <v>141240</v>
      </c>
      <c r="M11" s="28" t="n">
        <f aca="false">D11+(E11+F11+G11+3*H11)*12+I11+J11+K11</f>
        <v>484440</v>
      </c>
      <c r="N11" s="29" t="n">
        <f aca="false">M11/$M$5</f>
        <v>1.04212020823474</v>
      </c>
      <c r="O11" s="30" t="n">
        <v>150</v>
      </c>
      <c r="P11" s="27" t="n">
        <f aca="false">IF(O11="","—",(E11+H11)/(O11/60))</f>
        <v>4708</v>
      </c>
      <c r="Q11" s="16" t="s">
        <v>103</v>
      </c>
      <c r="R11" s="15" t="s">
        <v>210</v>
      </c>
    </row>
    <row r="12" customFormat="false" ht="57.75" hidden="false" customHeight="true" outlineLevel="0" collapsed="false">
      <c r="A12" s="15" t="s">
        <v>46</v>
      </c>
      <c r="B12" s="15" t="s">
        <v>108</v>
      </c>
      <c r="C12" s="15" t="s">
        <v>211</v>
      </c>
      <c r="D12" s="26" t="n">
        <v>10000</v>
      </c>
      <c r="E12" s="26" t="n">
        <v>7150</v>
      </c>
      <c r="F12" s="26" t="n">
        <v>7150</v>
      </c>
      <c r="G12" s="26" t="n">
        <v>7150</v>
      </c>
      <c r="H12" s="26" t="n">
        <v>0</v>
      </c>
      <c r="I12" s="26" t="n">
        <v>20350</v>
      </c>
      <c r="J12" s="26" t="n">
        <v>13200</v>
      </c>
      <c r="K12" s="26" t="n">
        <v>13200</v>
      </c>
      <c r="L12" s="27" t="n">
        <f aca="false">D12+(E12+H12)*12+I12</f>
        <v>116150</v>
      </c>
      <c r="M12" s="28" t="n">
        <f aca="false">D12+(E12+F12+G12+3*H12)*12+I12+J12+K12</f>
        <v>314150</v>
      </c>
      <c r="N12" s="29" t="n">
        <f aca="false">M12/$M$5</f>
        <v>0.675794862969496</v>
      </c>
      <c r="O12" s="30" t="n">
        <v>180</v>
      </c>
      <c r="P12" s="27" t="n">
        <f aca="false">IF(O12="","—",(E12+H12)/(O12/60))</f>
        <v>2383.33333333333</v>
      </c>
      <c r="Q12" s="16" t="s">
        <v>113</v>
      </c>
      <c r="R12" s="15" t="s">
        <v>212</v>
      </c>
    </row>
    <row r="13" customFormat="false" ht="57.75" hidden="false" customHeight="true" outlineLevel="0" collapsed="false">
      <c r="A13" s="15" t="s">
        <v>119</v>
      </c>
      <c r="B13" s="16" t="s">
        <v>120</v>
      </c>
      <c r="C13" s="15" t="s">
        <v>213</v>
      </c>
      <c r="D13" s="26" t="n">
        <v>16500</v>
      </c>
      <c r="E13" s="26" t="n">
        <v>29700</v>
      </c>
      <c r="F13" s="26" t="n">
        <v>29700</v>
      </c>
      <c r="G13" s="26" t="n">
        <v>29700</v>
      </c>
      <c r="H13" s="26" t="n">
        <v>0</v>
      </c>
      <c r="I13" s="26" t="n">
        <v>0</v>
      </c>
      <c r="J13" s="26" t="n">
        <v>0</v>
      </c>
      <c r="K13" s="26" t="n">
        <v>0</v>
      </c>
      <c r="L13" s="27" t="n">
        <f aca="false">D13+(E13+H13)*12+I13</f>
        <v>372900</v>
      </c>
      <c r="M13" s="28" t="n">
        <f aca="false">D13+(E13+F13+G13+3*H13)*12+I13+J13+K13</f>
        <v>1085700</v>
      </c>
      <c r="N13" s="29" t="n">
        <f aca="false">M13/$M$5</f>
        <v>2.33554188357785</v>
      </c>
      <c r="O13" s="30" t="n">
        <v>360</v>
      </c>
      <c r="P13" s="27" t="n">
        <f aca="false">IF(O13="","—",(E13+H13)/(O13/60))</f>
        <v>4950</v>
      </c>
      <c r="Q13" s="16" t="s">
        <v>125</v>
      </c>
      <c r="R13" s="15" t="s">
        <v>214</v>
      </c>
    </row>
    <row r="14" customFormat="false" ht="57.75" hidden="false" customHeight="true" outlineLevel="0" collapsed="false">
      <c r="A14" s="15" t="s">
        <v>119</v>
      </c>
      <c r="B14" s="16" t="s">
        <v>130</v>
      </c>
      <c r="C14" s="15" t="s">
        <v>215</v>
      </c>
      <c r="D14" s="26" t="n">
        <v>0</v>
      </c>
      <c r="E14" s="26" t="n">
        <v>23210</v>
      </c>
      <c r="F14" s="26" t="n">
        <v>23210</v>
      </c>
      <c r="G14" s="26" t="n">
        <v>23210</v>
      </c>
      <c r="H14" s="26" t="n">
        <v>2200</v>
      </c>
      <c r="I14" s="26" t="n">
        <v>0</v>
      </c>
      <c r="J14" s="26" t="n">
        <v>0</v>
      </c>
      <c r="K14" s="26" t="n">
        <v>0</v>
      </c>
      <c r="L14" s="27" t="n">
        <f aca="false">D14+(E14+H14)*12+I14</f>
        <v>304920</v>
      </c>
      <c r="M14" s="28" t="n">
        <f aca="false">D14+(E14+F14+G14+3*H14)*12+I14+J14+K14</f>
        <v>914760</v>
      </c>
      <c r="N14" s="29" t="n">
        <f aca="false">M14/$M$5</f>
        <v>1.96781826786559</v>
      </c>
      <c r="O14" s="30" t="n">
        <v>360</v>
      </c>
      <c r="P14" s="27" t="n">
        <f aca="false">IF(O14="","—",(E14+H14)/(O14/60))</f>
        <v>4235</v>
      </c>
      <c r="Q14" s="16" t="s">
        <v>134</v>
      </c>
      <c r="R14" s="15" t="s">
        <v>216</v>
      </c>
    </row>
    <row r="15" customFormat="false" ht="57.75" hidden="false" customHeight="true" outlineLevel="0" collapsed="false">
      <c r="A15" s="15" t="s">
        <v>119</v>
      </c>
      <c r="B15" s="16" t="s">
        <v>139</v>
      </c>
      <c r="C15" s="15" t="s">
        <v>217</v>
      </c>
      <c r="D15" s="26" t="n">
        <v>0</v>
      </c>
      <c r="E15" s="26" t="n">
        <v>9900</v>
      </c>
      <c r="F15" s="26" t="n">
        <v>9900</v>
      </c>
      <c r="G15" s="26" t="n">
        <v>9900</v>
      </c>
      <c r="H15" s="26" t="n">
        <v>0</v>
      </c>
      <c r="I15" s="26" t="n">
        <v>0</v>
      </c>
      <c r="J15" s="26" t="n">
        <v>0</v>
      </c>
      <c r="K15" s="26" t="n">
        <v>0</v>
      </c>
      <c r="L15" s="27" t="n">
        <f aca="false">D15+(E15+H15)*12+I15</f>
        <v>118800</v>
      </c>
      <c r="M15" s="28" t="n">
        <f aca="false">D15+(E15+F15+G15+3*H15)*12+I15+J15+K15</f>
        <v>356400</v>
      </c>
      <c r="N15" s="29" t="n">
        <f aca="false">M15/$M$5</f>
        <v>0.766682442025556</v>
      </c>
      <c r="O15" s="30" t="n">
        <v>240</v>
      </c>
      <c r="P15" s="27" t="n">
        <f aca="false">IF(O15="","—",(E15+H15)/(O15/60))</f>
        <v>2475</v>
      </c>
      <c r="Q15" s="16" t="s">
        <v>144</v>
      </c>
      <c r="R15" s="15" t="s">
        <v>218</v>
      </c>
    </row>
    <row r="16" customFormat="false" ht="57.75" hidden="false" customHeight="true" outlineLevel="0" collapsed="false">
      <c r="A16" s="15" t="s">
        <v>149</v>
      </c>
      <c r="B16" s="16" t="s">
        <v>150</v>
      </c>
      <c r="C16" s="15" t="s">
        <v>219</v>
      </c>
      <c r="D16" s="26" t="n">
        <v>0</v>
      </c>
      <c r="E16" s="26" t="n">
        <v>6200</v>
      </c>
      <c r="F16" s="26" t="n">
        <v>6500</v>
      </c>
      <c r="G16" s="26" t="n">
        <v>6500</v>
      </c>
      <c r="H16" s="26" t="n">
        <v>0</v>
      </c>
      <c r="I16" s="26" t="n">
        <v>0</v>
      </c>
      <c r="J16" s="26" t="n">
        <v>0</v>
      </c>
      <c r="K16" s="26" t="n">
        <v>0</v>
      </c>
      <c r="L16" s="27" t="n">
        <f aca="false">D16+(E16+H16)*12+I16</f>
        <v>74400</v>
      </c>
      <c r="M16" s="28" t="n">
        <f aca="false">D16+(E16+F16+G16+3*H16)*12+I16+J16+K16</f>
        <v>230400</v>
      </c>
      <c r="N16" s="29" t="n">
        <f aca="false">M16/$M$5</f>
        <v>0.495633093834703</v>
      </c>
      <c r="O16" s="30"/>
      <c r="P16" s="27" t="str">
        <f aca="false">IF(O16="","—",(E16+H16)/(O16/60))</f>
        <v>—</v>
      </c>
      <c r="Q16" s="15" t="s">
        <v>155</v>
      </c>
      <c r="R16" s="15" t="s">
        <v>220</v>
      </c>
    </row>
    <row r="17" customFormat="false" ht="57.75" hidden="false" customHeight="true" outlineLevel="0" collapsed="false">
      <c r="A17" s="15" t="s">
        <v>149</v>
      </c>
      <c r="B17" s="15" t="s">
        <v>160</v>
      </c>
      <c r="C17" s="15" t="s">
        <v>221</v>
      </c>
      <c r="D17" s="26" t="n">
        <v>0</v>
      </c>
      <c r="E17" s="26" t="n">
        <v>4980</v>
      </c>
      <c r="F17" s="26" t="n">
        <v>4980</v>
      </c>
      <c r="G17" s="26" t="n">
        <v>4980</v>
      </c>
      <c r="H17" s="26" t="n">
        <v>0</v>
      </c>
      <c r="I17" s="26" t="n">
        <v>0</v>
      </c>
      <c r="J17" s="26" t="n">
        <v>0</v>
      </c>
      <c r="K17" s="26" t="n">
        <v>0</v>
      </c>
      <c r="L17" s="27" t="n">
        <f aca="false">D17+(E17+H17)*12+I17</f>
        <v>59760</v>
      </c>
      <c r="M17" s="28" t="n">
        <f aca="false">D17+(E17+F17+G17+3*H17)*12+I17+J17+K17</f>
        <v>179280</v>
      </c>
      <c r="N17" s="29" t="n">
        <f aca="false">M17/$M$5</f>
        <v>0.385664501140128</v>
      </c>
      <c r="O17" s="30"/>
      <c r="P17" s="27" t="str">
        <f aca="false">IF(O17="","—",(E17+H17)/(O17/60))</f>
        <v>—</v>
      </c>
      <c r="Q17" s="16" t="s">
        <v>165</v>
      </c>
      <c r="R17" s="15" t="s">
        <v>216</v>
      </c>
    </row>
    <row r="18" customFormat="false" ht="57.75" hidden="false" customHeight="true" outlineLevel="0" collapsed="false">
      <c r="A18" s="15" t="s">
        <v>149</v>
      </c>
      <c r="B18" s="16" t="s">
        <v>170</v>
      </c>
      <c r="C18" s="15" t="s">
        <v>222</v>
      </c>
      <c r="D18" s="26" t="n">
        <v>11000</v>
      </c>
      <c r="E18" s="26" t="n">
        <v>11000</v>
      </c>
      <c r="F18" s="26" t="n">
        <v>16500</v>
      </c>
      <c r="G18" s="26" t="n">
        <v>16500</v>
      </c>
      <c r="H18" s="26" t="n">
        <v>0</v>
      </c>
      <c r="I18" s="26" t="n">
        <v>0</v>
      </c>
      <c r="J18" s="26" t="n">
        <v>0</v>
      </c>
      <c r="K18" s="26" t="n">
        <v>0</v>
      </c>
      <c r="L18" s="27" t="n">
        <f aca="false">D18+(E18+H18)*12+I18</f>
        <v>143000</v>
      </c>
      <c r="M18" s="28" t="n">
        <f aca="false">D18+(E18+F18+G18+3*H18)*12+I18+J18+K18</f>
        <v>539000</v>
      </c>
      <c r="N18" s="29" t="n">
        <f aca="false">M18/$M$5</f>
        <v>1.15948887837198</v>
      </c>
      <c r="O18" s="30"/>
      <c r="P18" s="27" t="str">
        <f aca="false">IF(O18="","—",(E18+H18)/(O18/60))</f>
        <v>—</v>
      </c>
      <c r="Q18" s="16" t="s">
        <v>174</v>
      </c>
      <c r="R18" s="15" t="s">
        <v>223</v>
      </c>
    </row>
    <row r="20" customFormat="false" ht="15" hidden="false" customHeight="false" outlineLevel="0" collapsed="false">
      <c r="A20" s="2" t="s">
        <v>224</v>
      </c>
    </row>
    <row r="21" customFormat="false" ht="15" hidden="false" customHeight="false" outlineLevel="0" collapsed="false">
      <c r="A21" s="31" t="s">
        <v>225</v>
      </c>
    </row>
    <row r="22" customFormat="false" ht="15" hidden="false" customHeight="false" outlineLevel="0" collapsed="false">
      <c r="A22" s="31" t="s">
        <v>226</v>
      </c>
    </row>
    <row r="23" customFormat="false" ht="15" hidden="false" customHeight="false" outlineLevel="0" collapsed="false">
      <c r="A23" s="31" t="s">
        <v>227</v>
      </c>
    </row>
    <row r="24" customFormat="false" ht="15" hidden="false" customHeight="false" outlineLevel="0" collapsed="false">
      <c r="A24" s="31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0" min="10" style="0" width="28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6" t="s">
        <v>229</v>
      </c>
    </row>
    <row r="2" customFormat="false" ht="15" hidden="false" customHeight="false" outlineLevel="0" collapsed="false">
      <c r="A2" s="7" t="s">
        <v>230</v>
      </c>
    </row>
    <row r="4" customFormat="false" ht="31.5" hidden="false" customHeight="true" outlineLevel="0" collapsed="false">
      <c r="A4" s="8" t="s">
        <v>21</v>
      </c>
      <c r="B4" s="8" t="s">
        <v>22</v>
      </c>
      <c r="C4" s="8" t="s">
        <v>5</v>
      </c>
      <c r="D4" s="8" t="s">
        <v>231</v>
      </c>
      <c r="E4" s="8" t="s">
        <v>232</v>
      </c>
      <c r="F4" s="8" t="s">
        <v>233</v>
      </c>
      <c r="G4" s="8" t="s">
        <v>234</v>
      </c>
      <c r="H4" s="8" t="s">
        <v>235</v>
      </c>
      <c r="I4" s="8" t="s">
        <v>236</v>
      </c>
      <c r="J4" s="8" t="s">
        <v>237</v>
      </c>
      <c r="K4" s="8" t="s">
        <v>238</v>
      </c>
    </row>
    <row r="5" customFormat="false" ht="79.5" hidden="false" customHeight="true" outlineLevel="0" collapsed="false">
      <c r="A5" s="10" t="s">
        <v>34</v>
      </c>
      <c r="B5" s="10" t="s">
        <v>35</v>
      </c>
      <c r="C5" s="11" t="s">
        <v>37</v>
      </c>
      <c r="D5" s="11" t="s">
        <v>239</v>
      </c>
      <c r="E5" s="11" t="s">
        <v>240</v>
      </c>
      <c r="F5" s="11" t="s">
        <v>241</v>
      </c>
      <c r="G5" s="11" t="s">
        <v>242</v>
      </c>
      <c r="H5" s="11" t="s">
        <v>243</v>
      </c>
      <c r="I5" s="11" t="s">
        <v>244</v>
      </c>
      <c r="J5" s="11" t="s">
        <v>245</v>
      </c>
      <c r="K5" s="11" t="s">
        <v>246</v>
      </c>
    </row>
    <row r="6" customFormat="false" ht="79.5" hidden="false" customHeight="true" outlineLevel="0" collapsed="false">
      <c r="A6" s="15" t="s">
        <v>46</v>
      </c>
      <c r="B6" s="16" t="s">
        <v>47</v>
      </c>
      <c r="C6" s="16" t="s">
        <v>49</v>
      </c>
      <c r="D6" s="15" t="s">
        <v>247</v>
      </c>
      <c r="E6" s="15" t="s">
        <v>248</v>
      </c>
      <c r="F6" s="15" t="s">
        <v>249</v>
      </c>
      <c r="G6" s="15" t="s">
        <v>250</v>
      </c>
      <c r="H6" s="15" t="s">
        <v>251</v>
      </c>
      <c r="I6" s="15" t="s">
        <v>251</v>
      </c>
      <c r="J6" s="16" t="s">
        <v>252</v>
      </c>
      <c r="K6" s="15" t="s">
        <v>253</v>
      </c>
    </row>
    <row r="7" customFormat="false" ht="79.5" hidden="false" customHeight="true" outlineLevel="0" collapsed="false">
      <c r="A7" s="15" t="s">
        <v>46</v>
      </c>
      <c r="B7" s="15" t="s">
        <v>58</v>
      </c>
      <c r="C7" s="15" t="s">
        <v>60</v>
      </c>
      <c r="D7" s="16" t="s">
        <v>254</v>
      </c>
      <c r="E7" s="15" t="s">
        <v>255</v>
      </c>
      <c r="F7" s="15" t="s">
        <v>256</v>
      </c>
      <c r="G7" s="15" t="s">
        <v>257</v>
      </c>
      <c r="H7" s="15" t="s">
        <v>258</v>
      </c>
      <c r="I7" s="15" t="s">
        <v>259</v>
      </c>
      <c r="J7" s="15" t="s">
        <v>260</v>
      </c>
      <c r="K7" s="15" t="s">
        <v>261</v>
      </c>
    </row>
    <row r="8" customFormat="false" ht="79.5" hidden="false" customHeight="true" outlineLevel="0" collapsed="false">
      <c r="A8" s="15" t="s">
        <v>46</v>
      </c>
      <c r="B8" s="15" t="s">
        <v>69</v>
      </c>
      <c r="C8" s="15" t="s">
        <v>71</v>
      </c>
      <c r="D8" s="15" t="s">
        <v>262</v>
      </c>
      <c r="E8" s="15" t="s">
        <v>263</v>
      </c>
      <c r="F8" s="16" t="s">
        <v>264</v>
      </c>
      <c r="G8" s="15" t="s">
        <v>265</v>
      </c>
      <c r="H8" s="15" t="s">
        <v>266</v>
      </c>
      <c r="I8" s="15" t="s">
        <v>267</v>
      </c>
      <c r="J8" s="16" t="s">
        <v>268</v>
      </c>
      <c r="K8" s="15" t="s">
        <v>269</v>
      </c>
    </row>
    <row r="9" customFormat="false" ht="79.5" hidden="false" customHeight="true" outlineLevel="0" collapsed="false">
      <c r="A9" s="15" t="s">
        <v>46</v>
      </c>
      <c r="B9" s="15" t="s">
        <v>79</v>
      </c>
      <c r="C9" s="15" t="s">
        <v>81</v>
      </c>
      <c r="D9" s="16" t="s">
        <v>270</v>
      </c>
      <c r="E9" s="15" t="s">
        <v>251</v>
      </c>
      <c r="F9" s="15" t="s">
        <v>271</v>
      </c>
      <c r="G9" s="16" t="s">
        <v>272</v>
      </c>
      <c r="H9" s="15" t="s">
        <v>251</v>
      </c>
      <c r="I9" s="15" t="s">
        <v>251</v>
      </c>
      <c r="J9" s="16" t="s">
        <v>273</v>
      </c>
      <c r="K9" s="15" t="s">
        <v>274</v>
      </c>
    </row>
    <row r="10" customFormat="false" ht="79.5" hidden="false" customHeight="true" outlineLevel="0" collapsed="false">
      <c r="A10" s="15" t="s">
        <v>46</v>
      </c>
      <c r="B10" s="15" t="s">
        <v>89</v>
      </c>
      <c r="C10" s="15" t="s">
        <v>91</v>
      </c>
      <c r="D10" s="16" t="s">
        <v>275</v>
      </c>
      <c r="E10" s="15" t="s">
        <v>276</v>
      </c>
      <c r="F10" s="16" t="s">
        <v>277</v>
      </c>
      <c r="G10" s="15" t="s">
        <v>278</v>
      </c>
      <c r="H10" s="15" t="s">
        <v>279</v>
      </c>
      <c r="I10" s="15" t="s">
        <v>279</v>
      </c>
      <c r="J10" s="15" t="s">
        <v>280</v>
      </c>
      <c r="K10" s="15" t="s">
        <v>281</v>
      </c>
    </row>
    <row r="11" customFormat="false" ht="79.5" hidden="false" customHeight="true" outlineLevel="0" collapsed="false">
      <c r="A11" s="15" t="s">
        <v>46</v>
      </c>
      <c r="B11" s="15" t="s">
        <v>99</v>
      </c>
      <c r="C11" s="15" t="s">
        <v>71</v>
      </c>
      <c r="D11" s="16" t="s">
        <v>282</v>
      </c>
      <c r="E11" s="16" t="s">
        <v>283</v>
      </c>
      <c r="F11" s="15" t="s">
        <v>284</v>
      </c>
      <c r="G11" s="15" t="s">
        <v>285</v>
      </c>
      <c r="H11" s="15" t="s">
        <v>286</v>
      </c>
      <c r="I11" s="15" t="s">
        <v>287</v>
      </c>
      <c r="J11" s="16" t="s">
        <v>288</v>
      </c>
      <c r="K11" s="15" t="s">
        <v>289</v>
      </c>
    </row>
    <row r="12" customFormat="false" ht="79.5" hidden="false" customHeight="true" outlineLevel="0" collapsed="false">
      <c r="A12" s="15" t="s">
        <v>46</v>
      </c>
      <c r="B12" s="15" t="s">
        <v>108</v>
      </c>
      <c r="C12" s="15" t="s">
        <v>110</v>
      </c>
      <c r="D12" s="16" t="s">
        <v>290</v>
      </c>
      <c r="E12" s="15" t="s">
        <v>251</v>
      </c>
      <c r="F12" s="15" t="s">
        <v>291</v>
      </c>
      <c r="G12" s="15" t="s">
        <v>292</v>
      </c>
      <c r="H12" s="15" t="s">
        <v>279</v>
      </c>
      <c r="I12" s="15" t="s">
        <v>279</v>
      </c>
      <c r="J12" s="15" t="s">
        <v>293</v>
      </c>
      <c r="K12" s="15" t="s">
        <v>261</v>
      </c>
    </row>
    <row r="13" customFormat="false" ht="79.5" hidden="false" customHeight="true" outlineLevel="0" collapsed="false">
      <c r="A13" s="15" t="s">
        <v>119</v>
      </c>
      <c r="B13" s="16" t="s">
        <v>120</v>
      </c>
      <c r="C13" s="15" t="s">
        <v>122</v>
      </c>
      <c r="D13" s="16" t="s">
        <v>294</v>
      </c>
      <c r="E13" s="15" t="s">
        <v>295</v>
      </c>
      <c r="F13" s="15" t="s">
        <v>296</v>
      </c>
      <c r="G13" s="15" t="s">
        <v>297</v>
      </c>
      <c r="H13" s="15" t="s">
        <v>298</v>
      </c>
      <c r="I13" s="15" t="s">
        <v>299</v>
      </c>
      <c r="J13" s="16" t="s">
        <v>300</v>
      </c>
      <c r="K13" s="15" t="s">
        <v>301</v>
      </c>
    </row>
    <row r="14" customFormat="false" ht="79.5" hidden="false" customHeight="true" outlineLevel="0" collapsed="false">
      <c r="A14" s="15" t="s">
        <v>119</v>
      </c>
      <c r="B14" s="16" t="s">
        <v>130</v>
      </c>
      <c r="C14" s="15" t="s">
        <v>132</v>
      </c>
      <c r="D14" s="16" t="s">
        <v>302</v>
      </c>
      <c r="E14" s="16" t="s">
        <v>303</v>
      </c>
      <c r="F14" s="16" t="s">
        <v>304</v>
      </c>
      <c r="G14" s="15" t="s">
        <v>305</v>
      </c>
      <c r="H14" s="15" t="s">
        <v>306</v>
      </c>
      <c r="I14" s="15" t="s">
        <v>307</v>
      </c>
      <c r="J14" s="16" t="s">
        <v>308</v>
      </c>
      <c r="K14" s="16" t="s">
        <v>309</v>
      </c>
    </row>
    <row r="15" customFormat="false" ht="79.5" hidden="false" customHeight="true" outlineLevel="0" collapsed="false">
      <c r="A15" s="15" t="s">
        <v>119</v>
      </c>
      <c r="B15" s="16" t="s">
        <v>139</v>
      </c>
      <c r="C15" s="15" t="s">
        <v>141</v>
      </c>
      <c r="D15" s="16" t="s">
        <v>310</v>
      </c>
      <c r="E15" s="15" t="s">
        <v>311</v>
      </c>
      <c r="F15" s="15" t="s">
        <v>312</v>
      </c>
      <c r="G15" s="15" t="s">
        <v>313</v>
      </c>
      <c r="H15" s="15" t="s">
        <v>314</v>
      </c>
      <c r="I15" s="15" t="s">
        <v>315</v>
      </c>
      <c r="J15" s="15" t="s">
        <v>316</v>
      </c>
      <c r="K15" s="15" t="s">
        <v>317</v>
      </c>
    </row>
    <row r="16" customFormat="false" ht="79.5" hidden="false" customHeight="true" outlineLevel="0" collapsed="false">
      <c r="A16" s="15" t="s">
        <v>149</v>
      </c>
      <c r="B16" s="16" t="s">
        <v>150</v>
      </c>
      <c r="C16" s="15" t="s">
        <v>152</v>
      </c>
      <c r="D16" s="15" t="s">
        <v>318</v>
      </c>
      <c r="E16" s="15" t="s">
        <v>319</v>
      </c>
      <c r="F16" s="16" t="s">
        <v>320</v>
      </c>
      <c r="G16" s="15" t="s">
        <v>321</v>
      </c>
      <c r="H16" s="15" t="s">
        <v>322</v>
      </c>
      <c r="I16" s="15" t="s">
        <v>323</v>
      </c>
      <c r="J16" s="16" t="s">
        <v>324</v>
      </c>
      <c r="K16" s="15" t="s">
        <v>325</v>
      </c>
    </row>
    <row r="17" customFormat="false" ht="79.5" hidden="false" customHeight="true" outlineLevel="0" collapsed="false">
      <c r="A17" s="15" t="s">
        <v>149</v>
      </c>
      <c r="B17" s="15" t="s">
        <v>160</v>
      </c>
      <c r="C17" s="15" t="s">
        <v>162</v>
      </c>
      <c r="D17" s="15" t="s">
        <v>326</v>
      </c>
      <c r="E17" s="15" t="s">
        <v>327</v>
      </c>
      <c r="F17" s="15" t="s">
        <v>328</v>
      </c>
      <c r="G17" s="15" t="s">
        <v>251</v>
      </c>
      <c r="H17" s="15" t="s">
        <v>322</v>
      </c>
      <c r="I17" s="15" t="s">
        <v>251</v>
      </c>
      <c r="J17" s="15" t="s">
        <v>329</v>
      </c>
      <c r="K17" s="15" t="s">
        <v>330</v>
      </c>
    </row>
    <row r="18" customFormat="false" ht="79.5" hidden="false" customHeight="true" outlineLevel="0" collapsed="false">
      <c r="A18" s="15" t="s">
        <v>149</v>
      </c>
      <c r="B18" s="16" t="s">
        <v>170</v>
      </c>
      <c r="C18" s="15" t="s">
        <v>71</v>
      </c>
      <c r="D18" s="16" t="s">
        <v>331</v>
      </c>
      <c r="E18" s="15" t="s">
        <v>332</v>
      </c>
      <c r="F18" s="16" t="s">
        <v>333</v>
      </c>
      <c r="G18" s="15" t="s">
        <v>334</v>
      </c>
      <c r="H18" s="15" t="s">
        <v>251</v>
      </c>
      <c r="I18" s="15" t="s">
        <v>335</v>
      </c>
      <c r="J18" s="16" t="s">
        <v>336</v>
      </c>
      <c r="K18" s="15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6" t="s">
        <v>337</v>
      </c>
    </row>
    <row r="2" customFormat="false" ht="15" hidden="false" customHeight="false" outlineLevel="0" collapsed="false">
      <c r="A2" s="7" t="s">
        <v>338</v>
      </c>
    </row>
    <row r="4" customFormat="false" ht="31.5" hidden="false" customHeight="true" outlineLevel="0" collapsed="false">
      <c r="A4" s="8" t="s">
        <v>21</v>
      </c>
      <c r="B4" s="8" t="s">
        <v>22</v>
      </c>
      <c r="C4" s="8" t="s">
        <v>339</v>
      </c>
      <c r="D4" s="8" t="s">
        <v>340</v>
      </c>
      <c r="E4" s="8" t="s">
        <v>341</v>
      </c>
      <c r="F4" s="8" t="s">
        <v>342</v>
      </c>
      <c r="G4" s="8" t="s">
        <v>343</v>
      </c>
      <c r="H4" s="8" t="s">
        <v>344</v>
      </c>
    </row>
    <row r="5" customFormat="false" ht="51.75" hidden="false" customHeight="true" outlineLevel="0" collapsed="false">
      <c r="A5" s="10" t="s">
        <v>34</v>
      </c>
      <c r="B5" s="10" t="s">
        <v>35</v>
      </c>
      <c r="C5" s="11" t="s">
        <v>345</v>
      </c>
      <c r="D5" s="12" t="s">
        <v>346</v>
      </c>
      <c r="E5" s="11" t="s">
        <v>347</v>
      </c>
      <c r="F5" s="11" t="s">
        <v>348</v>
      </c>
      <c r="G5" s="12" t="s">
        <v>349</v>
      </c>
      <c r="H5" s="11" t="s">
        <v>350</v>
      </c>
    </row>
    <row r="6" customFormat="false" ht="51.75" hidden="false" customHeight="true" outlineLevel="0" collapsed="false">
      <c r="A6" s="15" t="s">
        <v>46</v>
      </c>
      <c r="B6" s="16" t="s">
        <v>47</v>
      </c>
      <c r="C6" s="15" t="s">
        <v>351</v>
      </c>
      <c r="D6" s="15" t="s">
        <v>352</v>
      </c>
      <c r="E6" s="15" t="s">
        <v>353</v>
      </c>
      <c r="F6" s="15" t="s">
        <v>251</v>
      </c>
      <c r="G6" s="16" t="s">
        <v>354</v>
      </c>
      <c r="H6" s="15" t="s">
        <v>355</v>
      </c>
    </row>
    <row r="7" customFormat="false" ht="51.75" hidden="false" customHeight="true" outlineLevel="0" collapsed="false">
      <c r="A7" s="15" t="s">
        <v>46</v>
      </c>
      <c r="B7" s="15" t="s">
        <v>58</v>
      </c>
      <c r="C7" s="15" t="s">
        <v>356</v>
      </c>
      <c r="D7" s="15" t="s">
        <v>357</v>
      </c>
      <c r="E7" s="15" t="s">
        <v>358</v>
      </c>
      <c r="F7" s="16" t="s">
        <v>359</v>
      </c>
      <c r="G7" s="15" t="s">
        <v>360</v>
      </c>
      <c r="H7" s="15" t="s">
        <v>361</v>
      </c>
    </row>
    <row r="8" customFormat="false" ht="51.75" hidden="false" customHeight="true" outlineLevel="0" collapsed="false">
      <c r="A8" s="15" t="s">
        <v>46</v>
      </c>
      <c r="B8" s="15" t="s">
        <v>69</v>
      </c>
      <c r="C8" s="15" t="s">
        <v>362</v>
      </c>
      <c r="D8" s="15" t="s">
        <v>251</v>
      </c>
      <c r="E8" s="15" t="s">
        <v>363</v>
      </c>
      <c r="F8" s="15" t="s">
        <v>251</v>
      </c>
      <c r="G8" s="16" t="s">
        <v>364</v>
      </c>
      <c r="H8" s="15" t="s">
        <v>365</v>
      </c>
    </row>
    <row r="9" customFormat="false" ht="51.75" hidden="false" customHeight="true" outlineLevel="0" collapsed="false">
      <c r="A9" s="15" t="s">
        <v>46</v>
      </c>
      <c r="B9" s="15" t="s">
        <v>79</v>
      </c>
      <c r="C9" s="15" t="s">
        <v>366</v>
      </c>
      <c r="D9" s="15" t="s">
        <v>367</v>
      </c>
      <c r="E9" s="15" t="s">
        <v>368</v>
      </c>
      <c r="F9" s="15" t="s">
        <v>369</v>
      </c>
      <c r="G9" s="15" t="s">
        <v>251</v>
      </c>
      <c r="H9" s="15" t="s">
        <v>370</v>
      </c>
    </row>
    <row r="10" customFormat="false" ht="51.75" hidden="false" customHeight="true" outlineLevel="0" collapsed="false">
      <c r="A10" s="15" t="s">
        <v>46</v>
      </c>
      <c r="B10" s="15" t="s">
        <v>89</v>
      </c>
      <c r="C10" s="15" t="s">
        <v>371</v>
      </c>
      <c r="D10" s="15" t="s">
        <v>251</v>
      </c>
      <c r="E10" s="15" t="s">
        <v>251</v>
      </c>
      <c r="F10" s="15" t="s">
        <v>372</v>
      </c>
      <c r="G10" s="16" t="s">
        <v>373</v>
      </c>
      <c r="H10" s="15" t="s">
        <v>374</v>
      </c>
    </row>
    <row r="11" customFormat="false" ht="51.75" hidden="false" customHeight="true" outlineLevel="0" collapsed="false">
      <c r="A11" s="15" t="s">
        <v>46</v>
      </c>
      <c r="B11" s="15" t="s">
        <v>99</v>
      </c>
      <c r="C11" s="15" t="s">
        <v>375</v>
      </c>
      <c r="D11" s="15" t="s">
        <v>376</v>
      </c>
      <c r="E11" s="15" t="s">
        <v>377</v>
      </c>
      <c r="F11" s="15" t="s">
        <v>378</v>
      </c>
      <c r="G11" s="16" t="s">
        <v>379</v>
      </c>
      <c r="H11" s="15" t="s">
        <v>380</v>
      </c>
    </row>
    <row r="12" customFormat="false" ht="51.75" hidden="false" customHeight="true" outlineLevel="0" collapsed="false">
      <c r="A12" s="15" t="s">
        <v>46</v>
      </c>
      <c r="B12" s="15" t="s">
        <v>108</v>
      </c>
      <c r="C12" s="15" t="s">
        <v>381</v>
      </c>
      <c r="D12" s="15" t="s">
        <v>251</v>
      </c>
      <c r="E12" s="15" t="s">
        <v>251</v>
      </c>
      <c r="F12" s="15" t="s">
        <v>251</v>
      </c>
      <c r="G12" s="15" t="s">
        <v>251</v>
      </c>
      <c r="H12" s="15" t="s">
        <v>382</v>
      </c>
    </row>
    <row r="13" customFormat="false" ht="51.75" hidden="false" customHeight="true" outlineLevel="0" collapsed="false">
      <c r="A13" s="15" t="s">
        <v>119</v>
      </c>
      <c r="B13" s="16" t="s">
        <v>120</v>
      </c>
      <c r="C13" s="15" t="s">
        <v>383</v>
      </c>
      <c r="D13" s="15" t="s">
        <v>384</v>
      </c>
      <c r="E13" s="15" t="s">
        <v>385</v>
      </c>
      <c r="F13" s="15" t="s">
        <v>386</v>
      </c>
      <c r="G13" s="16" t="s">
        <v>387</v>
      </c>
      <c r="H13" s="15" t="s">
        <v>388</v>
      </c>
    </row>
    <row r="14" customFormat="false" ht="51.75" hidden="false" customHeight="true" outlineLevel="0" collapsed="false">
      <c r="A14" s="15" t="s">
        <v>119</v>
      </c>
      <c r="B14" s="16" t="s">
        <v>130</v>
      </c>
      <c r="C14" s="15" t="s">
        <v>389</v>
      </c>
      <c r="D14" s="15" t="s">
        <v>251</v>
      </c>
      <c r="E14" s="15" t="s">
        <v>390</v>
      </c>
      <c r="F14" s="15" t="s">
        <v>391</v>
      </c>
      <c r="G14" s="16" t="s">
        <v>392</v>
      </c>
      <c r="H14" s="15" t="s">
        <v>393</v>
      </c>
    </row>
    <row r="15" customFormat="false" ht="51.75" hidden="false" customHeight="true" outlineLevel="0" collapsed="false">
      <c r="A15" s="15" t="s">
        <v>119</v>
      </c>
      <c r="B15" s="16" t="s">
        <v>139</v>
      </c>
      <c r="C15" s="15" t="s">
        <v>394</v>
      </c>
      <c r="D15" s="15" t="s">
        <v>395</v>
      </c>
      <c r="E15" s="15" t="s">
        <v>396</v>
      </c>
      <c r="F15" s="15" t="s">
        <v>397</v>
      </c>
      <c r="G15" s="15" t="s">
        <v>311</v>
      </c>
      <c r="H15" s="15" t="s">
        <v>398</v>
      </c>
    </row>
    <row r="16" customFormat="false" ht="51.75" hidden="false" customHeight="true" outlineLevel="0" collapsed="false">
      <c r="A16" s="15" t="s">
        <v>149</v>
      </c>
      <c r="B16" s="16" t="s">
        <v>150</v>
      </c>
      <c r="C16" s="15" t="s">
        <v>399</v>
      </c>
      <c r="D16" s="16" t="s">
        <v>45</v>
      </c>
      <c r="E16" s="16" t="s">
        <v>45</v>
      </c>
      <c r="F16" s="16" t="s">
        <v>45</v>
      </c>
      <c r="G16" s="16" t="s">
        <v>45</v>
      </c>
      <c r="H16" s="15" t="s">
        <v>400</v>
      </c>
    </row>
    <row r="17" customFormat="false" ht="51.75" hidden="false" customHeight="true" outlineLevel="0" collapsed="false">
      <c r="A17" s="15" t="s">
        <v>149</v>
      </c>
      <c r="B17" s="15" t="s">
        <v>160</v>
      </c>
      <c r="C17" s="15" t="s">
        <v>251</v>
      </c>
      <c r="D17" s="15" t="s">
        <v>251</v>
      </c>
      <c r="E17" s="15" t="s">
        <v>251</v>
      </c>
      <c r="F17" s="15" t="s">
        <v>251</v>
      </c>
      <c r="G17" s="15" t="s">
        <v>401</v>
      </c>
      <c r="H17" s="15" t="s">
        <v>402</v>
      </c>
    </row>
    <row r="18" customFormat="false" ht="51.75" hidden="false" customHeight="true" outlineLevel="0" collapsed="false">
      <c r="A18" s="15" t="s">
        <v>149</v>
      </c>
      <c r="B18" s="16" t="s">
        <v>170</v>
      </c>
      <c r="C18" s="15" t="s">
        <v>403</v>
      </c>
      <c r="D18" s="15" t="s">
        <v>404</v>
      </c>
      <c r="E18" s="15" t="s">
        <v>396</v>
      </c>
      <c r="F18" s="15" t="s">
        <v>405</v>
      </c>
      <c r="G18" s="15" t="s">
        <v>251</v>
      </c>
      <c r="H18" s="15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40"/>
    <col collapsed="false" customWidth="true" hidden="false" outlineLevel="0" max="5" min="5" style="0" width="44"/>
    <col collapsed="false" customWidth="true" hidden="false" outlineLevel="0" max="6" min="6" style="0" width="48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6" t="s">
        <v>407</v>
      </c>
    </row>
    <row r="2" customFormat="false" ht="15" hidden="false" customHeight="false" outlineLevel="0" collapsed="false">
      <c r="A2" s="7" t="s">
        <v>408</v>
      </c>
    </row>
    <row r="4" customFormat="false" ht="31.5" hidden="false" customHeight="true" outlineLevel="0" collapsed="false">
      <c r="A4" s="8" t="s">
        <v>21</v>
      </c>
      <c r="B4" s="8" t="s">
        <v>22</v>
      </c>
      <c r="C4" s="8" t="s">
        <v>409</v>
      </c>
      <c r="D4" s="8" t="s">
        <v>410</v>
      </c>
      <c r="E4" s="8" t="s">
        <v>411</v>
      </c>
      <c r="F4" s="8" t="s">
        <v>412</v>
      </c>
      <c r="G4" s="8" t="s">
        <v>33</v>
      </c>
    </row>
    <row r="5" customFormat="false" ht="79.5" hidden="false" customHeight="true" outlineLevel="0" collapsed="false">
      <c r="A5" s="10" t="s">
        <v>34</v>
      </c>
      <c r="B5" s="10" t="s">
        <v>35</v>
      </c>
      <c r="C5" s="11" t="s">
        <v>43</v>
      </c>
      <c r="D5" s="11" t="s">
        <v>413</v>
      </c>
      <c r="E5" s="11" t="s">
        <v>44</v>
      </c>
      <c r="F5" s="12" t="s">
        <v>45</v>
      </c>
      <c r="G5" s="32" t="s">
        <v>45</v>
      </c>
    </row>
    <row r="6" customFormat="false" ht="79.5" hidden="false" customHeight="true" outlineLevel="0" collapsed="false">
      <c r="A6" s="15" t="s">
        <v>46</v>
      </c>
      <c r="B6" s="16" t="s">
        <v>47</v>
      </c>
      <c r="C6" s="15" t="s">
        <v>55</v>
      </c>
      <c r="D6" s="15" t="s">
        <v>414</v>
      </c>
      <c r="E6" s="16" t="s">
        <v>56</v>
      </c>
      <c r="F6" s="15" t="s">
        <v>415</v>
      </c>
      <c r="G6" s="33" t="s">
        <v>57</v>
      </c>
    </row>
    <row r="7" customFormat="false" ht="79.5" hidden="false" customHeight="true" outlineLevel="0" collapsed="false">
      <c r="A7" s="15" t="s">
        <v>46</v>
      </c>
      <c r="B7" s="15" t="s">
        <v>58</v>
      </c>
      <c r="C7" s="15" t="s">
        <v>66</v>
      </c>
      <c r="D7" s="15" t="s">
        <v>416</v>
      </c>
      <c r="E7" s="15" t="s">
        <v>67</v>
      </c>
      <c r="F7" s="15" t="s">
        <v>417</v>
      </c>
      <c r="G7" s="33" t="s">
        <v>68</v>
      </c>
    </row>
    <row r="8" customFormat="false" ht="79.5" hidden="false" customHeight="true" outlineLevel="0" collapsed="false">
      <c r="A8" s="15" t="s">
        <v>46</v>
      </c>
      <c r="B8" s="15" t="s">
        <v>69</v>
      </c>
      <c r="C8" s="15" t="s">
        <v>77</v>
      </c>
      <c r="D8" s="15" t="s">
        <v>418</v>
      </c>
      <c r="E8" s="15" t="s">
        <v>78</v>
      </c>
      <c r="F8" s="15" t="s">
        <v>419</v>
      </c>
      <c r="G8" s="33" t="s">
        <v>57</v>
      </c>
    </row>
    <row r="9" customFormat="false" ht="79.5" hidden="false" customHeight="true" outlineLevel="0" collapsed="false">
      <c r="A9" s="15" t="s">
        <v>46</v>
      </c>
      <c r="B9" s="15" t="s">
        <v>79</v>
      </c>
      <c r="C9" s="15" t="s">
        <v>87</v>
      </c>
      <c r="D9" s="15" t="s">
        <v>420</v>
      </c>
      <c r="E9" s="16" t="s">
        <v>88</v>
      </c>
      <c r="F9" s="15" t="s">
        <v>421</v>
      </c>
      <c r="G9" s="33" t="s">
        <v>57</v>
      </c>
    </row>
    <row r="10" customFormat="false" ht="79.5" hidden="false" customHeight="true" outlineLevel="0" collapsed="false">
      <c r="A10" s="15" t="s">
        <v>46</v>
      </c>
      <c r="B10" s="15" t="s">
        <v>89</v>
      </c>
      <c r="C10" s="15" t="s">
        <v>97</v>
      </c>
      <c r="D10" s="15" t="s">
        <v>422</v>
      </c>
      <c r="E10" s="15" t="s">
        <v>98</v>
      </c>
      <c r="F10" s="15" t="s">
        <v>423</v>
      </c>
      <c r="G10" s="33" t="s">
        <v>57</v>
      </c>
    </row>
    <row r="11" customFormat="false" ht="79.5" hidden="false" customHeight="true" outlineLevel="0" collapsed="false">
      <c r="A11" s="15" t="s">
        <v>46</v>
      </c>
      <c r="B11" s="15" t="s">
        <v>99</v>
      </c>
      <c r="C11" s="15" t="s">
        <v>106</v>
      </c>
      <c r="D11" s="15" t="s">
        <v>424</v>
      </c>
      <c r="E11" s="16" t="s">
        <v>107</v>
      </c>
      <c r="F11" s="15" t="s">
        <v>425</v>
      </c>
      <c r="G11" s="33" t="s">
        <v>68</v>
      </c>
    </row>
    <row r="12" customFormat="false" ht="79.5" hidden="false" customHeight="true" outlineLevel="0" collapsed="false">
      <c r="A12" s="15" t="s">
        <v>46</v>
      </c>
      <c r="B12" s="15" t="s">
        <v>108</v>
      </c>
      <c r="C12" s="15" t="s">
        <v>116</v>
      </c>
      <c r="D12" s="15" t="s">
        <v>426</v>
      </c>
      <c r="E12" s="15" t="s">
        <v>117</v>
      </c>
      <c r="F12" s="15" t="s">
        <v>427</v>
      </c>
      <c r="G12" s="33" t="s">
        <v>118</v>
      </c>
    </row>
    <row r="13" customFormat="false" ht="79.5" hidden="false" customHeight="true" outlineLevel="0" collapsed="false">
      <c r="A13" s="15" t="s">
        <v>119</v>
      </c>
      <c r="B13" s="16" t="s">
        <v>120</v>
      </c>
      <c r="C13" s="15" t="s">
        <v>128</v>
      </c>
      <c r="D13" s="15" t="s">
        <v>428</v>
      </c>
      <c r="E13" s="15" t="s">
        <v>129</v>
      </c>
      <c r="F13" s="16" t="s">
        <v>429</v>
      </c>
      <c r="G13" s="33" t="s">
        <v>118</v>
      </c>
    </row>
    <row r="14" customFormat="false" ht="79.5" hidden="false" customHeight="true" outlineLevel="0" collapsed="false">
      <c r="A14" s="15" t="s">
        <v>119</v>
      </c>
      <c r="B14" s="16" t="s">
        <v>130</v>
      </c>
      <c r="C14" s="15" t="s">
        <v>137</v>
      </c>
      <c r="D14" s="15" t="s">
        <v>430</v>
      </c>
      <c r="E14" s="15" t="s">
        <v>138</v>
      </c>
      <c r="F14" s="15" t="s">
        <v>431</v>
      </c>
      <c r="G14" s="33" t="s">
        <v>118</v>
      </c>
    </row>
    <row r="15" customFormat="false" ht="79.5" hidden="false" customHeight="true" outlineLevel="0" collapsed="false">
      <c r="A15" s="15" t="s">
        <v>119</v>
      </c>
      <c r="B15" s="16" t="s">
        <v>139</v>
      </c>
      <c r="C15" s="15" t="s">
        <v>147</v>
      </c>
      <c r="D15" s="15" t="s">
        <v>432</v>
      </c>
      <c r="E15" s="15" t="s">
        <v>148</v>
      </c>
      <c r="F15" s="15" t="s">
        <v>433</v>
      </c>
      <c r="G15" s="33" t="s">
        <v>57</v>
      </c>
    </row>
    <row r="16" customFormat="false" ht="79.5" hidden="false" customHeight="true" outlineLevel="0" collapsed="false">
      <c r="A16" s="15" t="s">
        <v>149</v>
      </c>
      <c r="B16" s="16" t="s">
        <v>150</v>
      </c>
      <c r="C16" s="15" t="s">
        <v>158</v>
      </c>
      <c r="D16" s="15" t="s">
        <v>434</v>
      </c>
      <c r="E16" s="15" t="s">
        <v>159</v>
      </c>
      <c r="F16" s="15" t="s">
        <v>435</v>
      </c>
      <c r="G16" s="33" t="s">
        <v>118</v>
      </c>
    </row>
    <row r="17" customFormat="false" ht="79.5" hidden="false" customHeight="true" outlineLevel="0" collapsed="false">
      <c r="A17" s="15" t="s">
        <v>149</v>
      </c>
      <c r="B17" s="15" t="s">
        <v>160</v>
      </c>
      <c r="C17" s="15" t="s">
        <v>168</v>
      </c>
      <c r="D17" s="15" t="s">
        <v>436</v>
      </c>
      <c r="E17" s="15" t="s">
        <v>169</v>
      </c>
      <c r="F17" s="15" t="s">
        <v>437</v>
      </c>
      <c r="G17" s="33" t="s">
        <v>118</v>
      </c>
    </row>
    <row r="18" customFormat="false" ht="79.5" hidden="false" customHeight="true" outlineLevel="0" collapsed="false">
      <c r="A18" s="15" t="s">
        <v>149</v>
      </c>
      <c r="B18" s="16" t="s">
        <v>170</v>
      </c>
      <c r="C18" s="16" t="s">
        <v>177</v>
      </c>
      <c r="D18" s="15" t="s">
        <v>438</v>
      </c>
      <c r="E18" s="15" t="s">
        <v>178</v>
      </c>
      <c r="F18" s="15" t="s">
        <v>439</v>
      </c>
      <c r="G18" s="3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0"/>
  </cols>
  <sheetData>
    <row r="1" customFormat="false" ht="19.4" hidden="false" customHeight="false" outlineLevel="0" collapsed="false">
      <c r="A1" s="6" t="s">
        <v>440</v>
      </c>
    </row>
    <row r="2" customFormat="false" ht="15" hidden="false" customHeight="false" outlineLevel="0" collapsed="false">
      <c r="A2" s="7" t="s">
        <v>441</v>
      </c>
    </row>
    <row r="4" customFormat="false" ht="31.5" hidden="false" customHeight="true" outlineLevel="0" collapsed="false">
      <c r="A4" s="8" t="s">
        <v>21</v>
      </c>
      <c r="B4" s="8" t="s">
        <v>22</v>
      </c>
      <c r="C4" s="9" t="s">
        <v>442</v>
      </c>
      <c r="D4" s="8" t="s">
        <v>443</v>
      </c>
      <c r="E4" s="8" t="s">
        <v>444</v>
      </c>
      <c r="F4" s="8" t="s">
        <v>33</v>
      </c>
    </row>
    <row r="5" customFormat="false" ht="15" hidden="false" customHeight="false" outlineLevel="0" collapsed="false">
      <c r="A5" s="10" t="s">
        <v>34</v>
      </c>
      <c r="B5" s="10" t="s">
        <v>35</v>
      </c>
      <c r="C5" s="34" t="n">
        <f aca="false">料金比較!M5</f>
        <v>464860</v>
      </c>
      <c r="D5" s="25" t="n">
        <v>5</v>
      </c>
      <c r="E5" s="11" t="s">
        <v>445</v>
      </c>
      <c r="F5" s="12" t="s">
        <v>45</v>
      </c>
    </row>
    <row r="6" customFormat="false" ht="26.85" hidden="false" customHeight="false" outlineLevel="0" collapsed="false">
      <c r="A6" s="15" t="s">
        <v>46</v>
      </c>
      <c r="B6" s="16" t="s">
        <v>47</v>
      </c>
      <c r="C6" s="17" t="n">
        <f aca="false">料金比較!M6</f>
        <v>514900</v>
      </c>
      <c r="D6" s="30" t="n">
        <v>4.5</v>
      </c>
      <c r="E6" s="16" t="s">
        <v>446</v>
      </c>
      <c r="F6" s="15" t="s">
        <v>57</v>
      </c>
    </row>
    <row r="7" customFormat="false" ht="26.85" hidden="false" customHeight="false" outlineLevel="0" collapsed="false">
      <c r="A7" s="15" t="s">
        <v>46</v>
      </c>
      <c r="B7" s="15" t="s">
        <v>58</v>
      </c>
      <c r="C7" s="17" t="n">
        <f aca="false">料金比較!M7</f>
        <v>479800</v>
      </c>
      <c r="D7" s="30" t="n">
        <v>4</v>
      </c>
      <c r="E7" s="15" t="s">
        <v>445</v>
      </c>
      <c r="F7" s="15" t="s">
        <v>68</v>
      </c>
    </row>
    <row r="8" customFormat="false" ht="26.85" hidden="false" customHeight="false" outlineLevel="0" collapsed="false">
      <c r="A8" s="15" t="s">
        <v>46</v>
      </c>
      <c r="B8" s="15" t="s">
        <v>69</v>
      </c>
      <c r="C8" s="17" t="n">
        <f aca="false">料金比較!M8</f>
        <v>470000</v>
      </c>
      <c r="D8" s="30" t="n">
        <v>3.5</v>
      </c>
      <c r="E8" s="15" t="s">
        <v>447</v>
      </c>
      <c r="F8" s="15" t="s">
        <v>57</v>
      </c>
    </row>
    <row r="9" customFormat="false" ht="26.85" hidden="false" customHeight="false" outlineLevel="0" collapsed="false">
      <c r="A9" s="15" t="s">
        <v>46</v>
      </c>
      <c r="B9" s="15" t="s">
        <v>79</v>
      </c>
      <c r="C9" s="17" t="n">
        <f aca="false">料金比較!M9</f>
        <v>761475</v>
      </c>
      <c r="D9" s="30" t="n">
        <v>3.5</v>
      </c>
      <c r="E9" s="15" t="s">
        <v>447</v>
      </c>
      <c r="F9" s="15" t="s">
        <v>57</v>
      </c>
    </row>
    <row r="10" customFormat="false" ht="26.85" hidden="false" customHeight="false" outlineLevel="0" collapsed="false">
      <c r="A10" s="15" t="s">
        <v>46</v>
      </c>
      <c r="B10" s="15" t="s">
        <v>89</v>
      </c>
      <c r="C10" s="17" t="n">
        <f aca="false">料金比較!M10</f>
        <v>447000</v>
      </c>
      <c r="D10" s="30" t="n">
        <v>4</v>
      </c>
      <c r="E10" s="15" t="s">
        <v>448</v>
      </c>
      <c r="F10" s="15" t="s">
        <v>57</v>
      </c>
    </row>
    <row r="11" customFormat="false" ht="26.85" hidden="false" customHeight="false" outlineLevel="0" collapsed="false">
      <c r="A11" s="15" t="s">
        <v>46</v>
      </c>
      <c r="B11" s="15" t="s">
        <v>99</v>
      </c>
      <c r="C11" s="17" t="n">
        <f aca="false">料金比較!M11</f>
        <v>484440</v>
      </c>
      <c r="D11" s="30" t="n">
        <v>3.5</v>
      </c>
      <c r="E11" s="15" t="s">
        <v>447</v>
      </c>
      <c r="F11" s="15" t="s">
        <v>68</v>
      </c>
    </row>
    <row r="12" customFormat="false" ht="26.85" hidden="false" customHeight="false" outlineLevel="0" collapsed="false">
      <c r="A12" s="15" t="s">
        <v>46</v>
      </c>
      <c r="B12" s="15" t="s">
        <v>108</v>
      </c>
      <c r="C12" s="17" t="n">
        <f aca="false">料金比較!M12</f>
        <v>314150</v>
      </c>
      <c r="D12" s="30" t="n">
        <v>4.5</v>
      </c>
      <c r="E12" s="15" t="s">
        <v>132</v>
      </c>
      <c r="F12" s="15" t="s">
        <v>118</v>
      </c>
    </row>
    <row r="13" customFormat="false" ht="26.85" hidden="false" customHeight="false" outlineLevel="0" collapsed="false">
      <c r="A13" s="15" t="s">
        <v>119</v>
      </c>
      <c r="B13" s="16" t="s">
        <v>120</v>
      </c>
      <c r="C13" s="17" t="n">
        <f aca="false">料金比較!M13</f>
        <v>1085700</v>
      </c>
      <c r="D13" s="30" t="n">
        <v>3</v>
      </c>
      <c r="E13" s="15" t="s">
        <v>447</v>
      </c>
      <c r="F13" s="15" t="s">
        <v>118</v>
      </c>
    </row>
    <row r="14" customFormat="false" ht="26.85" hidden="false" customHeight="false" outlineLevel="0" collapsed="false">
      <c r="A14" s="15" t="s">
        <v>119</v>
      </c>
      <c r="B14" s="16" t="s">
        <v>130</v>
      </c>
      <c r="C14" s="17" t="n">
        <f aca="false">料金比較!M14</f>
        <v>914760</v>
      </c>
      <c r="D14" s="30" t="n">
        <v>1.5</v>
      </c>
      <c r="E14" s="15" t="s">
        <v>449</v>
      </c>
      <c r="F14" s="15" t="s">
        <v>118</v>
      </c>
    </row>
    <row r="15" customFormat="false" ht="26.85" hidden="false" customHeight="false" outlineLevel="0" collapsed="false">
      <c r="A15" s="15" t="s">
        <v>119</v>
      </c>
      <c r="B15" s="16" t="s">
        <v>139</v>
      </c>
      <c r="C15" s="17" t="n">
        <f aca="false">料金比較!M15</f>
        <v>356400</v>
      </c>
      <c r="D15" s="30" t="n">
        <v>1</v>
      </c>
      <c r="E15" s="15" t="s">
        <v>450</v>
      </c>
      <c r="F15" s="15" t="s">
        <v>57</v>
      </c>
    </row>
    <row r="16" customFormat="false" ht="15" hidden="false" customHeight="false" outlineLevel="0" collapsed="false">
      <c r="A16" s="15" t="s">
        <v>149</v>
      </c>
      <c r="B16" s="16" t="s">
        <v>150</v>
      </c>
      <c r="C16" s="17" t="n">
        <f aca="false">料金比較!M16</f>
        <v>230400</v>
      </c>
      <c r="D16" s="30" t="n">
        <v>3</v>
      </c>
      <c r="E16" s="15" t="s">
        <v>447</v>
      </c>
      <c r="F16" s="15" t="s">
        <v>118</v>
      </c>
    </row>
    <row r="17" customFormat="false" ht="26.85" hidden="false" customHeight="false" outlineLevel="0" collapsed="false">
      <c r="A17" s="15" t="s">
        <v>149</v>
      </c>
      <c r="B17" s="15" t="s">
        <v>160</v>
      </c>
      <c r="C17" s="17" t="n">
        <f aca="false">料金比較!M17</f>
        <v>179280</v>
      </c>
      <c r="D17" s="30" t="n">
        <v>1</v>
      </c>
      <c r="E17" s="15" t="s">
        <v>132</v>
      </c>
      <c r="F17" s="15" t="s">
        <v>118</v>
      </c>
    </row>
    <row r="18" customFormat="false" ht="15" hidden="false" customHeight="false" outlineLevel="0" collapsed="false">
      <c r="A18" s="15" t="s">
        <v>149</v>
      </c>
      <c r="B18" s="16" t="s">
        <v>170</v>
      </c>
      <c r="C18" s="17" t="n">
        <f aca="false">料金比較!M18</f>
        <v>539000</v>
      </c>
      <c r="D18" s="30" t="n">
        <v>2</v>
      </c>
      <c r="E18" s="15" t="s">
        <v>447</v>
      </c>
      <c r="F18" s="15" t="s">
        <v>118</v>
      </c>
    </row>
    <row r="20" customFormat="false" ht="15" hidden="false" customHeight="false" outlineLevel="0" collapsed="false">
      <c r="A20" s="31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9.4" hidden="false" customHeight="false" outlineLevel="0" collapsed="false">
      <c r="A1" s="6" t="s">
        <v>452</v>
      </c>
    </row>
    <row r="2" customFormat="false" ht="15" hidden="false" customHeight="false" outlineLevel="0" collapsed="false">
      <c r="A2" s="7" t="s">
        <v>453</v>
      </c>
    </row>
    <row r="4" customFormat="false" ht="14.15" hidden="false" customHeight="false" outlineLevel="0" collapsed="false">
      <c r="A4" s="35" t="s">
        <v>454</v>
      </c>
      <c r="B4" s="35"/>
      <c r="C4" s="35" t="s">
        <v>455</v>
      </c>
      <c r="D4" s="35"/>
    </row>
    <row r="5" customFormat="false" ht="31.5" hidden="false" customHeight="true" outlineLevel="0" collapsed="false">
      <c r="A5" s="36" t="s">
        <v>456</v>
      </c>
      <c r="B5" s="15" t="s">
        <v>457</v>
      </c>
      <c r="C5" s="36" t="s">
        <v>458</v>
      </c>
      <c r="D5" s="15" t="s">
        <v>459</v>
      </c>
    </row>
    <row r="6" customFormat="false" ht="31.5" hidden="false" customHeight="true" outlineLevel="0" collapsed="false">
      <c r="A6" s="36" t="s">
        <v>460</v>
      </c>
      <c r="B6" s="15" t="s">
        <v>461</v>
      </c>
      <c r="C6" s="36" t="s">
        <v>462</v>
      </c>
      <c r="D6" s="16" t="s">
        <v>463</v>
      </c>
    </row>
    <row r="7" customFormat="false" ht="31.5" hidden="false" customHeight="true" outlineLevel="0" collapsed="false">
      <c r="A7" s="36" t="s">
        <v>464</v>
      </c>
      <c r="B7" s="15" t="s">
        <v>465</v>
      </c>
      <c r="C7" s="36" t="s">
        <v>466</v>
      </c>
      <c r="D7" s="15" t="s">
        <v>467</v>
      </c>
    </row>
    <row r="8" customFormat="false" ht="31.5" hidden="false" customHeight="true" outlineLevel="0" collapsed="false">
      <c r="A8" s="36" t="s">
        <v>468</v>
      </c>
      <c r="B8" s="15" t="s">
        <v>469</v>
      </c>
      <c r="C8" s="36" t="s">
        <v>470</v>
      </c>
      <c r="D8" s="15" t="s">
        <v>471</v>
      </c>
    </row>
    <row r="9" customFormat="false" ht="31.5" hidden="false" customHeight="true" outlineLevel="0" collapsed="false">
      <c r="A9" s="36" t="s">
        <v>472</v>
      </c>
      <c r="B9" s="16" t="s">
        <v>473</v>
      </c>
      <c r="C9" s="36" t="s">
        <v>474</v>
      </c>
      <c r="D9" s="15" t="s">
        <v>475</v>
      </c>
    </row>
    <row r="11" customFormat="false" ht="14.15" hidden="false" customHeight="false" outlineLevel="0" collapsed="false">
      <c r="A11" s="35" t="s">
        <v>476</v>
      </c>
      <c r="B11" s="35"/>
      <c r="C11" s="35" t="s">
        <v>477</v>
      </c>
      <c r="D11" s="35"/>
    </row>
    <row r="12" customFormat="false" ht="31.5" hidden="false" customHeight="true" outlineLevel="0" collapsed="false">
      <c r="A12" s="36" t="s">
        <v>478</v>
      </c>
      <c r="B12" s="16" t="s">
        <v>479</v>
      </c>
      <c r="C12" s="36" t="s">
        <v>480</v>
      </c>
      <c r="D12" s="15" t="s">
        <v>481</v>
      </c>
    </row>
    <row r="13" customFormat="false" ht="31.5" hidden="false" customHeight="true" outlineLevel="0" collapsed="false">
      <c r="A13" s="36" t="s">
        <v>482</v>
      </c>
      <c r="B13" s="16" t="s">
        <v>483</v>
      </c>
      <c r="C13" s="36" t="s">
        <v>484</v>
      </c>
      <c r="D13" s="15" t="s">
        <v>485</v>
      </c>
    </row>
    <row r="14" customFormat="false" ht="31.5" hidden="false" customHeight="true" outlineLevel="0" collapsed="false">
      <c r="A14" s="36" t="s">
        <v>486</v>
      </c>
      <c r="B14" s="15" t="s">
        <v>487</v>
      </c>
      <c r="C14" s="36" t="s">
        <v>488</v>
      </c>
      <c r="D14" s="15" t="s">
        <v>489</v>
      </c>
    </row>
    <row r="15" customFormat="false" ht="31.5" hidden="false" customHeight="true" outlineLevel="0" collapsed="false">
      <c r="A15" s="36" t="s">
        <v>490</v>
      </c>
      <c r="B15" s="15" t="s">
        <v>491</v>
      </c>
      <c r="C15" s="36" t="s">
        <v>492</v>
      </c>
      <c r="D15" s="15" t="s">
        <v>493</v>
      </c>
    </row>
    <row r="16" customFormat="false" ht="31.5" hidden="false" customHeight="true" outlineLevel="0" collapsed="false">
      <c r="A16" s="36" t="s">
        <v>494</v>
      </c>
      <c r="B16" s="15" t="s">
        <v>495</v>
      </c>
      <c r="C16" s="36" t="s">
        <v>496</v>
      </c>
      <c r="D16" s="15" t="s">
        <v>497</v>
      </c>
    </row>
    <row r="19" customFormat="false" ht="15" hidden="false" customHeight="false" outlineLevel="0" collapsed="false">
      <c r="A19" s="37" t="s">
        <v>498</v>
      </c>
      <c r="B19" s="37" t="s">
        <v>499</v>
      </c>
      <c r="C19" s="37" t="s">
        <v>500</v>
      </c>
      <c r="D19" s="37" t="s">
        <v>501</v>
      </c>
    </row>
    <row r="20" customFormat="false" ht="36" hidden="false" customHeight="true" outlineLevel="0" collapsed="false">
      <c r="A20" s="38" t="s">
        <v>502</v>
      </c>
      <c r="B20" s="15" t="s">
        <v>503</v>
      </c>
      <c r="C20" s="33" t="s">
        <v>68</v>
      </c>
      <c r="D20" s="33" t="s">
        <v>504</v>
      </c>
    </row>
    <row r="21" customFormat="false" ht="36" hidden="false" customHeight="true" outlineLevel="0" collapsed="false">
      <c r="A21" s="38" t="s">
        <v>505</v>
      </c>
      <c r="B21" s="15" t="s">
        <v>506</v>
      </c>
      <c r="C21" s="33" t="s">
        <v>68</v>
      </c>
      <c r="D21" s="39" t="s">
        <v>507</v>
      </c>
    </row>
    <row r="22" customFormat="false" ht="36" hidden="false" customHeight="true" outlineLevel="0" collapsed="false">
      <c r="A22" s="38" t="s">
        <v>508</v>
      </c>
      <c r="B22" s="15" t="s">
        <v>509</v>
      </c>
      <c r="C22" s="33" t="s">
        <v>57</v>
      </c>
      <c r="D22" s="33" t="s">
        <v>510</v>
      </c>
    </row>
    <row r="23" customFormat="false" ht="36" hidden="false" customHeight="true" outlineLevel="0" collapsed="false">
      <c r="A23" s="38" t="s">
        <v>511</v>
      </c>
      <c r="B23" s="15" t="s">
        <v>512</v>
      </c>
      <c r="C23" s="33" t="s">
        <v>68</v>
      </c>
      <c r="D23" s="33" t="s">
        <v>504</v>
      </c>
    </row>
    <row r="24" customFormat="false" ht="36" hidden="false" customHeight="true" outlineLevel="0" collapsed="false">
      <c r="A24" s="38" t="s">
        <v>513</v>
      </c>
      <c r="B24" s="16" t="s">
        <v>514</v>
      </c>
      <c r="C24" s="33" t="s">
        <v>57</v>
      </c>
      <c r="D24" s="33" t="s">
        <v>504</v>
      </c>
    </row>
    <row r="25" customFormat="false" ht="36" hidden="false" customHeight="true" outlineLevel="0" collapsed="false">
      <c r="A25" s="38" t="s">
        <v>515</v>
      </c>
      <c r="B25" s="15" t="s">
        <v>516</v>
      </c>
      <c r="C25" s="33" t="s">
        <v>57</v>
      </c>
      <c r="D25" s="39" t="s">
        <v>507</v>
      </c>
    </row>
    <row r="26" customFormat="false" ht="36" hidden="false" customHeight="true" outlineLevel="0" collapsed="false">
      <c r="A26" s="38" t="s">
        <v>517</v>
      </c>
      <c r="B26" s="15" t="s">
        <v>518</v>
      </c>
      <c r="C26" s="33" t="s">
        <v>118</v>
      </c>
      <c r="D26" s="39" t="s">
        <v>519</v>
      </c>
    </row>
  </sheetData>
  <mergeCells count="4">
    <mergeCell ref="A4:B4"/>
    <mergeCell ref="C4:D4"/>
    <mergeCell ref="A11:B11"/>
    <mergeCell ref="C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6" min="6" style="0" width="8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6" t="s">
        <v>520</v>
      </c>
    </row>
    <row r="2" customFormat="false" ht="15" hidden="false" customHeight="false" outlineLevel="0" collapsed="false">
      <c r="A2" s="7" t="s">
        <v>521</v>
      </c>
    </row>
    <row r="4" customFormat="false" ht="31.5" hidden="false" customHeight="true" outlineLevel="0" collapsed="false">
      <c r="A4" s="9" t="s">
        <v>522</v>
      </c>
      <c r="B4" s="8" t="s">
        <v>5</v>
      </c>
      <c r="C4" s="8" t="s">
        <v>523</v>
      </c>
      <c r="D4" s="8" t="s">
        <v>524</v>
      </c>
      <c r="E4" s="8" t="s">
        <v>525</v>
      </c>
      <c r="F4" s="8" t="s">
        <v>500</v>
      </c>
      <c r="G4" s="8" t="s">
        <v>526</v>
      </c>
    </row>
    <row r="5" customFormat="false" ht="33.75" hidden="false" customHeight="true" outlineLevel="0" collapsed="false">
      <c r="A5" s="33" t="n">
        <v>1</v>
      </c>
      <c r="B5" s="15" t="s">
        <v>527</v>
      </c>
      <c r="C5" s="15" t="s">
        <v>528</v>
      </c>
      <c r="D5" s="15" t="s">
        <v>529</v>
      </c>
      <c r="E5" s="15" t="s">
        <v>530</v>
      </c>
      <c r="F5" s="33" t="s">
        <v>68</v>
      </c>
      <c r="G5" s="33" t="s">
        <v>531</v>
      </c>
    </row>
    <row r="6" customFormat="false" ht="33.75" hidden="false" customHeight="true" outlineLevel="0" collapsed="false">
      <c r="A6" s="33" t="n">
        <v>2</v>
      </c>
      <c r="B6" s="15" t="s">
        <v>527</v>
      </c>
      <c r="C6" s="15" t="s">
        <v>532</v>
      </c>
      <c r="D6" s="15" t="s">
        <v>533</v>
      </c>
      <c r="E6" s="15" t="s">
        <v>530</v>
      </c>
      <c r="F6" s="33" t="s">
        <v>68</v>
      </c>
      <c r="G6" s="33" t="s">
        <v>531</v>
      </c>
    </row>
    <row r="7" customFormat="false" ht="33.75" hidden="false" customHeight="true" outlineLevel="0" collapsed="false">
      <c r="A7" s="33" t="n">
        <v>3</v>
      </c>
      <c r="B7" s="15" t="s">
        <v>527</v>
      </c>
      <c r="C7" s="15" t="s">
        <v>534</v>
      </c>
      <c r="D7" s="15" t="s">
        <v>535</v>
      </c>
      <c r="E7" s="15" t="s">
        <v>536</v>
      </c>
      <c r="F7" s="33" t="s">
        <v>57</v>
      </c>
      <c r="G7" s="33" t="s">
        <v>531</v>
      </c>
    </row>
    <row r="8" customFormat="false" ht="33.75" hidden="false" customHeight="true" outlineLevel="0" collapsed="false">
      <c r="A8" s="33" t="n">
        <v>4</v>
      </c>
      <c r="B8" s="16" t="s">
        <v>537</v>
      </c>
      <c r="C8" s="15" t="s">
        <v>538</v>
      </c>
      <c r="D8" s="15" t="s">
        <v>539</v>
      </c>
      <c r="E8" s="16" t="s">
        <v>540</v>
      </c>
      <c r="F8" s="33" t="s">
        <v>68</v>
      </c>
      <c r="G8" s="33" t="s">
        <v>531</v>
      </c>
    </row>
    <row r="9" customFormat="false" ht="33.75" hidden="false" customHeight="true" outlineLevel="0" collapsed="false">
      <c r="A9" s="33" t="n">
        <v>5</v>
      </c>
      <c r="B9" s="15" t="s">
        <v>541</v>
      </c>
      <c r="C9" s="15" t="s">
        <v>542</v>
      </c>
      <c r="D9" s="16" t="s">
        <v>543</v>
      </c>
      <c r="E9" s="16" t="s">
        <v>544</v>
      </c>
      <c r="F9" s="33" t="s">
        <v>57</v>
      </c>
      <c r="G9" s="33" t="s">
        <v>531</v>
      </c>
    </row>
    <row r="10" customFormat="false" ht="33.75" hidden="false" customHeight="true" outlineLevel="0" collapsed="false">
      <c r="A10" s="33" t="n">
        <v>6</v>
      </c>
      <c r="B10" s="15" t="s">
        <v>69</v>
      </c>
      <c r="C10" s="15" t="s">
        <v>545</v>
      </c>
      <c r="D10" s="15" t="s">
        <v>546</v>
      </c>
      <c r="E10" s="16" t="s">
        <v>547</v>
      </c>
      <c r="F10" s="33" t="s">
        <v>68</v>
      </c>
      <c r="G10" s="33" t="s">
        <v>531</v>
      </c>
    </row>
    <row r="11" customFormat="false" ht="33.75" hidden="false" customHeight="true" outlineLevel="0" collapsed="false">
      <c r="A11" s="33" t="n">
        <v>7</v>
      </c>
      <c r="B11" s="15" t="s">
        <v>548</v>
      </c>
      <c r="C11" s="15" t="s">
        <v>549</v>
      </c>
      <c r="D11" s="16" t="s">
        <v>550</v>
      </c>
      <c r="E11" s="16" t="s">
        <v>551</v>
      </c>
      <c r="F11" s="33" t="s">
        <v>68</v>
      </c>
      <c r="G11" s="33" t="s">
        <v>531</v>
      </c>
    </row>
    <row r="12" customFormat="false" ht="33.75" hidden="false" customHeight="true" outlineLevel="0" collapsed="false">
      <c r="A12" s="33" t="n">
        <v>8</v>
      </c>
      <c r="B12" s="15" t="s">
        <v>552</v>
      </c>
      <c r="C12" s="15" t="s">
        <v>553</v>
      </c>
      <c r="D12" s="15" t="s">
        <v>554</v>
      </c>
      <c r="E12" s="16" t="s">
        <v>555</v>
      </c>
      <c r="F12" s="33" t="s">
        <v>57</v>
      </c>
      <c r="G12" s="33" t="s">
        <v>531</v>
      </c>
    </row>
    <row r="13" customFormat="false" ht="33.75" hidden="false" customHeight="true" outlineLevel="0" collapsed="false">
      <c r="A13" s="33" t="n">
        <v>9</v>
      </c>
      <c r="B13" s="15" t="s">
        <v>99</v>
      </c>
      <c r="C13" s="16" t="s">
        <v>556</v>
      </c>
      <c r="D13" s="16" t="s">
        <v>557</v>
      </c>
      <c r="E13" s="16" t="s">
        <v>558</v>
      </c>
      <c r="F13" s="33" t="s">
        <v>57</v>
      </c>
      <c r="G13" s="33" t="s">
        <v>531</v>
      </c>
    </row>
    <row r="14" customFormat="false" ht="33.75" hidden="false" customHeight="true" outlineLevel="0" collapsed="false">
      <c r="A14" s="33" t="n">
        <v>10</v>
      </c>
      <c r="B14" s="15" t="s">
        <v>108</v>
      </c>
      <c r="C14" s="15" t="s">
        <v>559</v>
      </c>
      <c r="D14" s="15" t="s">
        <v>560</v>
      </c>
      <c r="E14" s="16" t="s">
        <v>561</v>
      </c>
      <c r="F14" s="33" t="s">
        <v>118</v>
      </c>
      <c r="G14" s="33" t="s">
        <v>531</v>
      </c>
    </row>
    <row r="15" customFormat="false" ht="33.75" hidden="false" customHeight="true" outlineLevel="0" collapsed="false">
      <c r="A15" s="33" t="n">
        <v>11</v>
      </c>
      <c r="B15" s="16" t="s">
        <v>120</v>
      </c>
      <c r="C15" s="15" t="s">
        <v>562</v>
      </c>
      <c r="D15" s="15" t="s">
        <v>563</v>
      </c>
      <c r="E15" s="16" t="s">
        <v>564</v>
      </c>
      <c r="F15" s="33" t="s">
        <v>118</v>
      </c>
      <c r="G15" s="33" t="s">
        <v>531</v>
      </c>
    </row>
    <row r="16" customFormat="false" ht="33.75" hidden="false" customHeight="true" outlineLevel="0" collapsed="false">
      <c r="A16" s="33" t="n">
        <v>12</v>
      </c>
      <c r="B16" s="16" t="s">
        <v>130</v>
      </c>
      <c r="C16" s="15" t="s">
        <v>565</v>
      </c>
      <c r="D16" s="15" t="s">
        <v>566</v>
      </c>
      <c r="E16" s="16" t="s">
        <v>567</v>
      </c>
      <c r="F16" s="33" t="s">
        <v>57</v>
      </c>
      <c r="G16" s="33" t="s">
        <v>531</v>
      </c>
    </row>
    <row r="17" customFormat="false" ht="33.75" hidden="false" customHeight="true" outlineLevel="0" collapsed="false">
      <c r="A17" s="33" t="n">
        <v>13</v>
      </c>
      <c r="B17" s="16" t="s">
        <v>568</v>
      </c>
      <c r="C17" s="15" t="s">
        <v>569</v>
      </c>
      <c r="D17" s="15" t="s">
        <v>570</v>
      </c>
      <c r="E17" s="16" t="s">
        <v>571</v>
      </c>
      <c r="F17" s="33" t="s">
        <v>68</v>
      </c>
      <c r="G17" s="33" t="s">
        <v>531</v>
      </c>
    </row>
    <row r="18" customFormat="false" ht="33.75" hidden="false" customHeight="true" outlineLevel="0" collapsed="false">
      <c r="A18" s="33" t="n">
        <v>14</v>
      </c>
      <c r="B18" s="16" t="s">
        <v>572</v>
      </c>
      <c r="C18" s="15" t="s">
        <v>573</v>
      </c>
      <c r="D18" s="15" t="s">
        <v>574</v>
      </c>
      <c r="E18" s="16" t="s">
        <v>575</v>
      </c>
      <c r="F18" s="33" t="s">
        <v>118</v>
      </c>
      <c r="G18" s="33" t="s">
        <v>531</v>
      </c>
    </row>
    <row r="19" customFormat="false" ht="33.75" hidden="false" customHeight="true" outlineLevel="0" collapsed="false">
      <c r="A19" s="33" t="n">
        <v>15</v>
      </c>
      <c r="B19" s="15" t="s">
        <v>576</v>
      </c>
      <c r="C19" s="15" t="s">
        <v>577</v>
      </c>
      <c r="D19" s="15" t="s">
        <v>533</v>
      </c>
      <c r="E19" s="16" t="s">
        <v>578</v>
      </c>
      <c r="F19" s="33" t="s">
        <v>118</v>
      </c>
      <c r="G19" s="33" t="s">
        <v>531</v>
      </c>
    </row>
    <row r="20" customFormat="false" ht="33.75" hidden="false" customHeight="true" outlineLevel="0" collapsed="false">
      <c r="A20" s="33" t="n">
        <v>16</v>
      </c>
      <c r="B20" s="16" t="s">
        <v>170</v>
      </c>
      <c r="C20" s="15" t="s">
        <v>579</v>
      </c>
      <c r="D20" s="15" t="s">
        <v>533</v>
      </c>
      <c r="E20" s="16" t="s">
        <v>580</v>
      </c>
      <c r="F20" s="33" t="s">
        <v>118</v>
      </c>
      <c r="G20" s="33" t="s">
        <v>531</v>
      </c>
    </row>
    <row r="21" customFormat="false" ht="33.75" hidden="false" customHeight="true" outlineLevel="0" collapsed="false">
      <c r="A21" s="33" t="n">
        <v>17</v>
      </c>
      <c r="B21" s="15" t="s">
        <v>581</v>
      </c>
      <c r="C21" s="15" t="s">
        <v>582</v>
      </c>
      <c r="D21" s="15" t="s">
        <v>583</v>
      </c>
      <c r="E21" s="15" t="s">
        <v>584</v>
      </c>
      <c r="F21" s="33" t="s">
        <v>57</v>
      </c>
      <c r="G21" s="33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36"/>
  </cols>
  <sheetData>
    <row r="1" customFormat="false" ht="17.35" hidden="false" customHeight="false" outlineLevel="0" collapsed="false">
      <c r="A1" s="6" t="s">
        <v>585</v>
      </c>
    </row>
    <row r="2" customFormat="false" ht="15" hidden="false" customHeight="false" outlineLevel="0" collapsed="false">
      <c r="A2" s="7" t="s">
        <v>586</v>
      </c>
    </row>
    <row r="4" customFormat="false" ht="31.5" hidden="false" customHeight="true" outlineLevel="0" collapsed="false">
      <c r="A4" s="8" t="s">
        <v>587</v>
      </c>
      <c r="B4" s="8" t="s">
        <v>588</v>
      </c>
    </row>
    <row r="5" customFormat="false" ht="31.5" hidden="false" customHeight="true" outlineLevel="0" collapsed="false">
      <c r="A5" s="15" t="s">
        <v>589</v>
      </c>
      <c r="B5" s="16" t="s">
        <v>590</v>
      </c>
    </row>
    <row r="6" customFormat="false" ht="31.5" hidden="false" customHeight="true" outlineLevel="0" collapsed="false">
      <c r="A6" s="15" t="s">
        <v>591</v>
      </c>
      <c r="B6" s="15" t="s">
        <v>592</v>
      </c>
    </row>
    <row r="7" customFormat="false" ht="31.5" hidden="false" customHeight="true" outlineLevel="0" collapsed="false">
      <c r="A7" s="15" t="s">
        <v>593</v>
      </c>
      <c r="B7" s="16" t="s">
        <v>594</v>
      </c>
    </row>
    <row r="8" customFormat="false" ht="31.5" hidden="false" customHeight="true" outlineLevel="0" collapsed="false">
      <c r="A8" s="15" t="s">
        <v>595</v>
      </c>
      <c r="B8" s="15" t="s">
        <v>596</v>
      </c>
    </row>
    <row r="9" customFormat="false" ht="31.5" hidden="false" customHeight="true" outlineLevel="0" collapsed="false">
      <c r="A9" s="15" t="s">
        <v>597</v>
      </c>
      <c r="B9" s="16" t="s">
        <v>598</v>
      </c>
    </row>
    <row r="10" customFormat="false" ht="31.5" hidden="false" customHeight="true" outlineLevel="0" collapsed="false">
      <c r="A10" s="15" t="s">
        <v>599</v>
      </c>
      <c r="B10" s="15" t="s">
        <v>600</v>
      </c>
    </row>
    <row r="12" customFormat="false" ht="15" hidden="false" customHeight="false" outlineLevel="0" collapsed="false">
      <c r="A12" s="40" t="s">
        <v>601</v>
      </c>
    </row>
    <row r="13" customFormat="false" ht="15" hidden="false" customHeight="false" outlineLevel="0" collapsed="false">
      <c r="A13" s="41" t="s">
        <v>602</v>
      </c>
      <c r="B13" s="41" t="s">
        <v>603</v>
      </c>
      <c r="C13" s="42" t="s">
        <v>604</v>
      </c>
    </row>
    <row r="14" customFormat="false" ht="26.85" hidden="false" customHeight="false" outlineLevel="0" collapsed="false">
      <c r="A14" s="16" t="s">
        <v>605</v>
      </c>
      <c r="B14" s="16" t="s">
        <v>606</v>
      </c>
      <c r="C14" s="16" t="s">
        <v>607</v>
      </c>
    </row>
    <row r="15" customFormat="false" ht="26.85" hidden="false" customHeight="false" outlineLevel="0" collapsed="false">
      <c r="A15" s="15" t="s">
        <v>608</v>
      </c>
      <c r="B15" s="15" t="s">
        <v>609</v>
      </c>
      <c r="C15" s="16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6" t="s">
        <v>611</v>
      </c>
    </row>
    <row r="2" customFormat="false" ht="15" hidden="false" customHeight="false" outlineLevel="0" collapsed="false">
      <c r="A2" s="7" t="s">
        <v>612</v>
      </c>
    </row>
    <row r="4" customFormat="false" ht="31.5" hidden="false" customHeight="true" outlineLevel="0" collapsed="false">
      <c r="A4" s="8" t="s">
        <v>22</v>
      </c>
      <c r="B4" s="9" t="s">
        <v>604</v>
      </c>
    </row>
    <row r="5" customFormat="false" ht="15" hidden="false" customHeight="false" outlineLevel="0" collapsed="false">
      <c r="A5" s="10" t="s">
        <v>35</v>
      </c>
      <c r="B5" s="43" t="s">
        <v>613</v>
      </c>
    </row>
    <row r="6" customFormat="false" ht="15" hidden="false" customHeight="false" outlineLevel="0" collapsed="false">
      <c r="A6" s="10" t="s">
        <v>35</v>
      </c>
      <c r="B6" s="43" t="s">
        <v>614</v>
      </c>
    </row>
    <row r="7" customFormat="false" ht="15" hidden="false" customHeight="false" outlineLevel="0" collapsed="false">
      <c r="A7" s="10" t="s">
        <v>35</v>
      </c>
      <c r="B7" s="43" t="s">
        <v>615</v>
      </c>
    </row>
    <row r="8" customFormat="false" ht="15" hidden="false" customHeight="false" outlineLevel="0" collapsed="false">
      <c r="A8" s="10" t="s">
        <v>35</v>
      </c>
      <c r="B8" s="43" t="s">
        <v>616</v>
      </c>
    </row>
    <row r="9" customFormat="false" ht="15" hidden="false" customHeight="false" outlineLevel="0" collapsed="false">
      <c r="A9" s="10" t="s">
        <v>35</v>
      </c>
      <c r="B9" s="43" t="s">
        <v>617</v>
      </c>
    </row>
    <row r="10" customFormat="false" ht="15" hidden="false" customHeight="false" outlineLevel="0" collapsed="false">
      <c r="A10" s="16" t="s">
        <v>47</v>
      </c>
      <c r="B10" s="44" t="s">
        <v>618</v>
      </c>
    </row>
    <row r="11" customFormat="false" ht="15" hidden="false" customHeight="false" outlineLevel="0" collapsed="false">
      <c r="A11" s="16" t="s">
        <v>47</v>
      </c>
      <c r="B11" s="44" t="s">
        <v>619</v>
      </c>
    </row>
    <row r="12" customFormat="false" ht="15" hidden="false" customHeight="false" outlineLevel="0" collapsed="false">
      <c r="A12" s="16" t="s">
        <v>47</v>
      </c>
      <c r="B12" s="44" t="s">
        <v>620</v>
      </c>
    </row>
    <row r="13" customFormat="false" ht="15" hidden="false" customHeight="false" outlineLevel="0" collapsed="false">
      <c r="A13" s="16" t="s">
        <v>47</v>
      </c>
      <c r="B13" s="44" t="s">
        <v>621</v>
      </c>
    </row>
    <row r="14" customFormat="false" ht="15" hidden="false" customHeight="false" outlineLevel="0" collapsed="false">
      <c r="A14" s="15" t="s">
        <v>58</v>
      </c>
      <c r="B14" s="44" t="s">
        <v>622</v>
      </c>
    </row>
    <row r="15" customFormat="false" ht="15" hidden="false" customHeight="false" outlineLevel="0" collapsed="false">
      <c r="A15" s="15" t="s">
        <v>58</v>
      </c>
      <c r="B15" s="44" t="s">
        <v>623</v>
      </c>
    </row>
    <row r="16" customFormat="false" ht="15" hidden="false" customHeight="false" outlineLevel="0" collapsed="false">
      <c r="A16" s="15" t="s">
        <v>58</v>
      </c>
      <c r="B16" s="44" t="s">
        <v>624</v>
      </c>
    </row>
    <row r="17" customFormat="false" ht="15" hidden="false" customHeight="false" outlineLevel="0" collapsed="false">
      <c r="A17" s="15" t="s">
        <v>58</v>
      </c>
      <c r="B17" s="44" t="s">
        <v>625</v>
      </c>
    </row>
    <row r="18" customFormat="false" ht="15" hidden="false" customHeight="false" outlineLevel="0" collapsed="false">
      <c r="A18" s="15" t="s">
        <v>69</v>
      </c>
      <c r="B18" s="44" t="s">
        <v>626</v>
      </c>
    </row>
    <row r="19" customFormat="false" ht="15" hidden="false" customHeight="false" outlineLevel="0" collapsed="false">
      <c r="A19" s="15" t="s">
        <v>69</v>
      </c>
      <c r="B19" s="44" t="s">
        <v>627</v>
      </c>
    </row>
    <row r="20" customFormat="false" ht="15" hidden="false" customHeight="false" outlineLevel="0" collapsed="false">
      <c r="A20" s="15" t="s">
        <v>69</v>
      </c>
      <c r="B20" s="44" t="s">
        <v>628</v>
      </c>
    </row>
    <row r="21" customFormat="false" ht="15" hidden="false" customHeight="false" outlineLevel="0" collapsed="false">
      <c r="A21" s="15" t="s">
        <v>69</v>
      </c>
      <c r="B21" s="44" t="s">
        <v>629</v>
      </c>
    </row>
    <row r="22" customFormat="false" ht="15" hidden="false" customHeight="false" outlineLevel="0" collapsed="false">
      <c r="A22" s="15" t="s">
        <v>79</v>
      </c>
      <c r="B22" s="44" t="s">
        <v>630</v>
      </c>
    </row>
    <row r="23" customFormat="false" ht="15" hidden="false" customHeight="false" outlineLevel="0" collapsed="false">
      <c r="A23" s="15" t="s">
        <v>79</v>
      </c>
      <c r="B23" s="44" t="s">
        <v>631</v>
      </c>
    </row>
    <row r="24" customFormat="false" ht="15" hidden="false" customHeight="false" outlineLevel="0" collapsed="false">
      <c r="A24" s="15" t="s">
        <v>79</v>
      </c>
      <c r="B24" s="44" t="s">
        <v>632</v>
      </c>
    </row>
    <row r="25" customFormat="false" ht="15" hidden="false" customHeight="false" outlineLevel="0" collapsed="false">
      <c r="A25" s="15" t="s">
        <v>79</v>
      </c>
      <c r="B25" s="44" t="s">
        <v>633</v>
      </c>
    </row>
    <row r="26" customFormat="false" ht="15" hidden="false" customHeight="false" outlineLevel="0" collapsed="false">
      <c r="A26" s="15" t="s">
        <v>89</v>
      </c>
      <c r="B26" s="44" t="s">
        <v>634</v>
      </c>
    </row>
    <row r="27" customFormat="false" ht="15" hidden="false" customHeight="false" outlineLevel="0" collapsed="false">
      <c r="A27" s="15" t="s">
        <v>89</v>
      </c>
      <c r="B27" s="44" t="s">
        <v>635</v>
      </c>
    </row>
    <row r="28" customFormat="false" ht="15" hidden="false" customHeight="false" outlineLevel="0" collapsed="false">
      <c r="A28" s="15" t="s">
        <v>89</v>
      </c>
      <c r="B28" s="44" t="s">
        <v>636</v>
      </c>
    </row>
    <row r="29" customFormat="false" ht="15" hidden="false" customHeight="false" outlineLevel="0" collapsed="false">
      <c r="A29" s="15" t="s">
        <v>89</v>
      </c>
      <c r="B29" s="44" t="s">
        <v>637</v>
      </c>
    </row>
    <row r="30" customFormat="false" ht="15" hidden="false" customHeight="false" outlineLevel="0" collapsed="false">
      <c r="A30" s="15" t="s">
        <v>99</v>
      </c>
      <c r="B30" s="44" t="s">
        <v>638</v>
      </c>
    </row>
    <row r="31" customFormat="false" ht="15" hidden="false" customHeight="false" outlineLevel="0" collapsed="false">
      <c r="A31" s="15" t="s">
        <v>99</v>
      </c>
      <c r="B31" s="44" t="s">
        <v>639</v>
      </c>
    </row>
    <row r="32" customFormat="false" ht="15" hidden="false" customHeight="false" outlineLevel="0" collapsed="false">
      <c r="A32" s="15" t="s">
        <v>99</v>
      </c>
      <c r="B32" s="44" t="s">
        <v>640</v>
      </c>
    </row>
    <row r="33" customFormat="false" ht="15" hidden="false" customHeight="false" outlineLevel="0" collapsed="false">
      <c r="A33" s="15" t="s">
        <v>99</v>
      </c>
      <c r="B33" s="44" t="s">
        <v>641</v>
      </c>
    </row>
    <row r="34" customFormat="false" ht="15" hidden="false" customHeight="false" outlineLevel="0" collapsed="false">
      <c r="A34" s="15" t="s">
        <v>108</v>
      </c>
      <c r="B34" s="44" t="s">
        <v>642</v>
      </c>
    </row>
    <row r="35" customFormat="false" ht="15" hidden="false" customHeight="false" outlineLevel="0" collapsed="false">
      <c r="A35" s="15" t="s">
        <v>108</v>
      </c>
      <c r="B35" s="44" t="s">
        <v>643</v>
      </c>
    </row>
    <row r="36" customFormat="false" ht="15" hidden="false" customHeight="false" outlineLevel="0" collapsed="false">
      <c r="A36" s="15" t="s">
        <v>108</v>
      </c>
      <c r="B36" s="44" t="s">
        <v>644</v>
      </c>
    </row>
    <row r="37" customFormat="false" ht="15" hidden="false" customHeight="false" outlineLevel="0" collapsed="false">
      <c r="A37" s="16" t="s">
        <v>120</v>
      </c>
      <c r="B37" s="44" t="s">
        <v>645</v>
      </c>
    </row>
    <row r="38" customFormat="false" ht="15" hidden="false" customHeight="false" outlineLevel="0" collapsed="false">
      <c r="A38" s="16" t="s">
        <v>120</v>
      </c>
      <c r="B38" s="44" t="s">
        <v>646</v>
      </c>
    </row>
    <row r="39" customFormat="false" ht="15" hidden="false" customHeight="false" outlineLevel="0" collapsed="false">
      <c r="A39" s="16" t="s">
        <v>120</v>
      </c>
      <c r="B39" s="44" t="s">
        <v>647</v>
      </c>
    </row>
    <row r="40" customFormat="false" ht="15" hidden="false" customHeight="false" outlineLevel="0" collapsed="false">
      <c r="A40" s="16" t="s">
        <v>130</v>
      </c>
      <c r="B40" s="44" t="s">
        <v>648</v>
      </c>
    </row>
    <row r="41" customFormat="false" ht="15" hidden="false" customHeight="false" outlineLevel="0" collapsed="false">
      <c r="A41" s="16" t="s">
        <v>130</v>
      </c>
      <c r="B41" s="44" t="s">
        <v>649</v>
      </c>
    </row>
    <row r="42" customFormat="false" ht="15" hidden="false" customHeight="false" outlineLevel="0" collapsed="false">
      <c r="A42" s="16" t="s">
        <v>130</v>
      </c>
      <c r="B42" s="44" t="s">
        <v>650</v>
      </c>
    </row>
    <row r="43" customFormat="false" ht="15" hidden="false" customHeight="false" outlineLevel="0" collapsed="false">
      <c r="A43" s="16" t="s">
        <v>139</v>
      </c>
      <c r="B43" s="44" t="s">
        <v>651</v>
      </c>
    </row>
    <row r="44" customFormat="false" ht="15" hidden="false" customHeight="false" outlineLevel="0" collapsed="false">
      <c r="A44" s="16" t="s">
        <v>139</v>
      </c>
      <c r="B44" s="44" t="s">
        <v>652</v>
      </c>
    </row>
    <row r="45" customFormat="false" ht="15" hidden="false" customHeight="false" outlineLevel="0" collapsed="false">
      <c r="A45" s="16" t="s">
        <v>139</v>
      </c>
      <c r="B45" s="44" t="s">
        <v>653</v>
      </c>
    </row>
    <row r="46" customFormat="false" ht="15" hidden="false" customHeight="false" outlineLevel="0" collapsed="false">
      <c r="A46" s="16" t="s">
        <v>139</v>
      </c>
      <c r="B46" s="44" t="s">
        <v>654</v>
      </c>
    </row>
    <row r="47" customFormat="false" ht="15" hidden="false" customHeight="false" outlineLevel="0" collapsed="false">
      <c r="A47" s="16" t="s">
        <v>150</v>
      </c>
      <c r="B47" s="44" t="s">
        <v>655</v>
      </c>
    </row>
    <row r="48" customFormat="false" ht="15" hidden="false" customHeight="false" outlineLevel="0" collapsed="false">
      <c r="A48" s="16" t="s">
        <v>150</v>
      </c>
      <c r="B48" s="44" t="s">
        <v>656</v>
      </c>
    </row>
    <row r="49" customFormat="false" ht="15" hidden="false" customHeight="false" outlineLevel="0" collapsed="false">
      <c r="A49" s="16" t="s">
        <v>150</v>
      </c>
      <c r="B49" s="44" t="s">
        <v>657</v>
      </c>
    </row>
    <row r="50" customFormat="false" ht="15" hidden="false" customHeight="false" outlineLevel="0" collapsed="false">
      <c r="A50" s="15" t="s">
        <v>160</v>
      </c>
      <c r="B50" s="44" t="s">
        <v>658</v>
      </c>
    </row>
    <row r="51" customFormat="false" ht="15" hidden="false" customHeight="false" outlineLevel="0" collapsed="false">
      <c r="A51" s="15" t="s">
        <v>160</v>
      </c>
      <c r="B51" s="44" t="s">
        <v>659</v>
      </c>
    </row>
    <row r="52" customFormat="false" ht="15" hidden="false" customHeight="false" outlineLevel="0" collapsed="false">
      <c r="A52" s="15" t="s">
        <v>160</v>
      </c>
      <c r="B52" s="44" t="s">
        <v>660</v>
      </c>
    </row>
    <row r="53" customFormat="false" ht="15" hidden="false" customHeight="false" outlineLevel="0" collapsed="false">
      <c r="A53" s="16" t="s">
        <v>170</v>
      </c>
      <c r="B53" s="44" t="s">
        <v>661</v>
      </c>
    </row>
    <row r="54" customFormat="false" ht="15" hidden="false" customHeight="false" outlineLevel="0" collapsed="false">
      <c r="A54" s="16" t="s">
        <v>170</v>
      </c>
      <c r="B54" s="44" t="s">
        <v>662</v>
      </c>
    </row>
    <row r="55" customFormat="false" ht="15" hidden="false" customHeight="false" outlineLevel="0" collapsed="false">
      <c r="A55" s="16" t="s">
        <v>170</v>
      </c>
      <c r="B55" s="44" t="s">
        <v>663</v>
      </c>
    </row>
    <row r="56" customFormat="false" ht="15" hidden="false" customHeight="false" outlineLevel="0" collapsed="false">
      <c r="A56" s="15" t="s">
        <v>585</v>
      </c>
      <c r="B56" s="44" t="s">
        <v>664</v>
      </c>
    </row>
    <row r="57" customFormat="false" ht="15" hidden="false" customHeight="false" outlineLevel="0" collapsed="false">
      <c r="A57" s="15" t="s">
        <v>585</v>
      </c>
      <c r="B57" s="44" t="s">
        <v>665</v>
      </c>
    </row>
    <row r="58" customFormat="false" ht="15" hidden="false" customHeight="false" outlineLevel="0" collapsed="false">
      <c r="A58" s="15" t="s">
        <v>585</v>
      </c>
      <c r="B58" s="44" t="s">
        <v>666</v>
      </c>
    </row>
    <row r="59" customFormat="false" ht="15" hidden="false" customHeight="false" outlineLevel="0" collapsed="false">
      <c r="A59" s="15" t="s">
        <v>585</v>
      </c>
      <c r="B59" s="44" t="s">
        <v>667</v>
      </c>
    </row>
  </sheetData>
  <hyperlinks>
    <hyperlink ref="B5" r:id="rId1" display="https://www.stemon.net/cources-prices/"/>
    <hyperlink ref="B6" r:id="rId2" display="https://www.dreamnews.jp/press/0000342672"/>
    <hyperlink ref="B7" r:id="rId3" display="https://coeteco.jp/brand/stemon"/>
    <hyperlink ref="B8" r:id="rId4" display="https://juken.oricon.co.jp/rank-kids-programming/company/stemon/"/>
    <hyperlink ref="B9" r:id="rId5" display="https://en-gage.net/viling/work_6029651/"/>
    <hyperlink ref="B10" r:id="rId6" display="https://steamcampus.jp/"/>
    <hyperlink ref="B11" r:id="rId7" display="https://www.learningsystems.co.jp/steam_campus_fc.html"/>
    <hyperlink ref="B12" r:id="rId8" display="https://manabikids.jp/lego-gessha/"/>
    <hyperlink ref="B13" r:id="rId9" display="https://coeteco.jp/brand/legoschool"/>
    <hyperlink ref="B14" r:id="rId10" display="https://kids.athuman.com/robo/"/>
    <hyperlink ref="B15" r:id="rId11" display="https://kids.athuman.com/fc/lp02/"/>
    <hyperlink ref="B16" r:id="rId12" display="https://kodomoprogramming.net/humanacademy-price/"/>
    <hyperlink ref="B17" r:id="rId13" display="https://coeteco.jp/brand/human-robot"/>
    <hyperlink ref="B18" r:id="rId14" display="https://media.robo-done.com/programming-school/post-701/"/>
    <hyperlink ref="B19" r:id="rId15" display="https://daivoy.com/robo-done-fee/"/>
    <hyperlink ref="B20" r:id="rId16" display="https://coeteco.jp/brand/robo-done"/>
    <hyperlink ref="B21" r:id="rId17" display="https://prtimes.jp/main/html/rd/p/000000036.000006566.html"/>
    <hyperlink ref="B22" r:id="rId18" display="https://crefus.com/company/"/>
    <hyperlink ref="B23" r:id="rId19" display="https://crefus.jp/fll/"/>
    <hyperlink ref="B24" r:id="rId20" display="https://techgym.jp/column/crefus-hyoban/"/>
    <hyperlink ref="B25" r:id="rId21" display="https://jukunavi.com/job/crefus/futakotamagawa/"/>
    <hyperlink ref="B26" r:id="rId22" display="https://www.artec-kk.co.jp/school/edison/"/>
    <hyperlink ref="B27" r:id="rId23" display="https://edisonacademy.jp/"/>
    <hyperlink ref="B28" r:id="rId24" display="https://daivoy.com/artec-edison-fee/"/>
    <hyperlink ref="B29" r:id="rId25" display="https://coeteco.jp/brand/edisonacademy"/>
    <hyperlink ref="B30" r:id="rId26" display="https://www.proglab.education/"/>
    <hyperlink ref="B31" r:id="rId27" display="https://www.hankyu-hanshin.co.jp/release/docs/aa89307f2d664c25f107f0d6838016ddbee47ee4.pdf"/>
    <hyperlink ref="B32" r:id="rId28" display="https://coeteco.jp/brand/proglab"/>
    <hyperlink ref="B33" r:id="rId29" display="https://www.proglab.education/recruit/"/>
    <hyperlink ref="B34" r:id="rId30" display="https://tamiya-robotschool.com/"/>
    <hyperlink ref="B35" r:id="rId31" display="https://daivoy.com/tamiya-robot-fee/"/>
    <hyperlink ref="B36" r:id="rId32" display="https://play-program.com/tamiya/"/>
    <hyperlink ref="B37" r:id="rId33" display="https://wonder.litalico.jp/faq/qa_category_4/"/>
    <hyperlink ref="B38" r:id="rId34" display="https://coeteco.jp/brand/litalico-wonder"/>
    <hyperlink ref="B39" r:id="rId35" display="https://job-ole.com/recruit/litalico/jobs/13787511"/>
    <hyperlink ref="B40" r:id="rId36" display="https://techkidsschool.jp/school/"/>
    <hyperlink ref="B41" r:id="rId37" display="https://techkidsschool.jp/faq/qa_list/"/>
    <hyperlink ref="B42" r:id="rId38" display="https://www.cyberagent.co.jp/news/detail/id=33354"/>
    <hyperlink ref="B43" r:id="rId39" display="https://qureo.jp/"/>
    <hyperlink ref="B44" r:id="rId40" display="https://qureo.jp/class/faq"/>
    <hyperlink ref="B45" r:id="rId41" display="https://www.cyberagent.co.jp/news/detail/id=30040"/>
    <hyperlink ref="B46" r:id="rId42" display="https://www.morijuku.com/column/53/"/>
    <hyperlink ref="B47" r:id="rId43" display="https://www.zkai.co.jp/z-programming/"/>
    <hyperlink ref="B48" r:id="rId44" display="https://www.zkai.co.jp/z-programming/mirai/price/"/>
    <hyperlink ref="B49" r:id="rId45" display="https://prtimes.jp/main/html/rd/p/000001016.000049291.html"/>
    <hyperlink ref="B50" r:id="rId46" display="https://digitane.jp/online/pricing/"/>
    <hyperlink ref="B51" r:id="rId47" display="https://www.educationaldesign.jp/2023/02/21/2892/"/>
    <hyperlink ref="B52" r:id="rId48" display="https://coeteco.jp/brand/d-school_online"/>
    <hyperlink ref="B53" r:id="rId49" display="https://codecampkids.jp/"/>
    <hyperlink ref="B54" r:id="rId50" display="https://coeteco.jp/brand/codecampkids"/>
    <hyperlink ref="B55" r:id="rId51" display="https://baitonet.jp/job_2021062/"/>
    <hyperlink ref="B56" r:id="rId52" display="https://narika.jp/company/"/>
    <hyperlink ref="B57" r:id="rId53" display="https://www.rika.com/lego"/>
    <hyperlink ref="B58" r:id="rId54" display="https://www.rika.com/programming"/>
    <hyperlink ref="B59" r:id="rId55" display="https://www.rika.com/ns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2026-09-28T00:49:23Z</dcterms:created>
  <dc:creator>openpyxl</dc:creator>
  <dc:description/>
  <dc:language>en-US</dc:language>
  <cp:lastModifiedBy/>
  <dcterms:modified xsi:type="dcterms:W3CDTF">2026-09-28T00:55:40Z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